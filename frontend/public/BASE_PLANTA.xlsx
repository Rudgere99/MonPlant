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Germano\Downloads\"/>
    </mc:Choice>
  </mc:AlternateContent>
  <xr:revisionPtr revIDLastSave="0" documentId="13_ncr:1_{D6B8E423-C27C-45C9-9F1A-270420B99E07}" xr6:coauthVersionLast="47" xr6:coauthVersionMax="47" xr10:uidLastSave="{00000000-0000-0000-0000-000000000000}"/>
  <bookViews>
    <workbookView xWindow="-108" yWindow="-108" windowWidth="23256" windowHeight="12456" xr2:uid="{547D1F3C-CE89-423A-B451-31D7DF2819AA}"/>
  </bookViews>
  <sheets>
    <sheet name="HORÍMETROS" sheetId="1" r:id="rId1"/>
    <sheet name="PARADAS TOTAIS" sheetId="2" state="hidden" r:id="rId2"/>
    <sheet name="PRODUÇÃO" sheetId="4" state="hidden" r:id="rId3"/>
    <sheet name="Planilha1" sheetId="9" r:id="rId4"/>
    <sheet name="CAPACIDADE NOMINAL" sheetId="6" state="hidden" r:id="rId5"/>
    <sheet name="BASE" sheetId="3" state="hidden" r:id="rId6"/>
    <sheet name="Paradas" sheetId="7" r:id="rId7"/>
    <sheet name="Dados" sheetId="8" state="hidden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9" l="1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2" i="9"/>
  <c r="D11" i="4"/>
  <c r="D10" i="4"/>
  <c r="D9" i="4"/>
  <c r="D8" i="4"/>
  <c r="D7" i="4"/>
  <c r="D6" i="4"/>
  <c r="D5" i="4"/>
  <c r="D4" i="4"/>
  <c r="D3" i="4"/>
  <c r="K139" i="7"/>
  <c r="K138" i="7"/>
  <c r="K137" i="7"/>
  <c r="K136" i="7"/>
  <c r="K135" i="7"/>
  <c r="K134" i="7"/>
  <c r="K133" i="7"/>
  <c r="K132" i="7"/>
  <c r="K131" i="7"/>
  <c r="K130" i="7"/>
  <c r="K129" i="7"/>
  <c r="K128" i="7"/>
  <c r="K127" i="7"/>
  <c r="K126" i="7"/>
  <c r="K125" i="7"/>
  <c r="K124" i="7"/>
  <c r="K123" i="7"/>
  <c r="K122" i="7"/>
  <c r="K121" i="7"/>
  <c r="K120" i="7"/>
  <c r="K119" i="7"/>
  <c r="K118" i="7"/>
  <c r="K117" i="7"/>
  <c r="K116" i="7"/>
  <c r="K115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3" i="7"/>
  <c r="K4" i="7"/>
  <c r="K2" i="7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K54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</calcChain>
</file>

<file path=xl/sharedStrings.xml><?xml version="1.0" encoding="utf-8"?>
<sst xmlns="http://schemas.openxmlformats.org/spreadsheetml/2006/main" count="2588" uniqueCount="193">
  <si>
    <t>DATA</t>
  </si>
  <si>
    <t>HE INCIAL - BRITADOR.P</t>
  </si>
  <si>
    <t>HE FINAL - BRITADOR.P</t>
  </si>
  <si>
    <t>HE INICIAL - BRITADOR.S</t>
  </si>
  <si>
    <t>HE FINAL - BRITADOR.S</t>
  </si>
  <si>
    <t>HE INICIAL - PNR01</t>
  </si>
  <si>
    <t>HE FINAL - PNR01</t>
  </si>
  <si>
    <t>HE INICIAL - PNR02</t>
  </si>
  <si>
    <t>HE FINAL - PNR02</t>
  </si>
  <si>
    <t>Data Início</t>
  </si>
  <si>
    <t>Hora Início</t>
  </si>
  <si>
    <t>Planta</t>
  </si>
  <si>
    <t>Turno</t>
  </si>
  <si>
    <t>Tipo de Parada</t>
  </si>
  <si>
    <t>Código da Parada</t>
  </si>
  <si>
    <t>Descrição detalhada da parada</t>
  </si>
  <si>
    <t>Data Fim</t>
  </si>
  <si>
    <t>Hora Fim</t>
  </si>
  <si>
    <t>Tempo Parada</t>
  </si>
  <si>
    <t>Peneira Pnr001</t>
  </si>
  <si>
    <t>PARADA OPERACIONAL</t>
  </si>
  <si>
    <t>PARADA INDIRETA</t>
  </si>
  <si>
    <t>ABASTECIMENTO</t>
  </si>
  <si>
    <t>SOBRECARGA BRITADOR BT002</t>
  </si>
  <si>
    <t>PARADA DE MANUTENÇÃO</t>
  </si>
  <si>
    <t>AJUSTE NO BT002</t>
  </si>
  <si>
    <t>Peneira Pnr002</t>
  </si>
  <si>
    <t>Britador Primário</t>
  </si>
  <si>
    <t>Britador Secundário</t>
  </si>
  <si>
    <t>PARADA DIRETA</t>
  </si>
  <si>
    <t>SOBRECARGA BRITADOR BT001</t>
  </si>
  <si>
    <t>LIMPEZA DA CALDA DO BRITADOR</t>
  </si>
  <si>
    <t>ALINHAMENTO DA CORREIA</t>
  </si>
  <si>
    <t>AJUSTE DA CORREIA PRINCIPAL</t>
  </si>
  <si>
    <t>MANUTENÇÃO PALIATIVA</t>
  </si>
  <si>
    <t>AJUSTE NA CORTINA</t>
  </si>
  <si>
    <t>BALANÇO DE MASSA</t>
  </si>
  <si>
    <t>LIMPEZA DO TAMBOR</t>
  </si>
  <si>
    <t>MANUTENÇÃO CORRETIVA- TROCA DAS GUIAS LATERAIS</t>
  </si>
  <si>
    <t>ALINHAMENTO DA TC PRINCIPAL</t>
  </si>
  <si>
    <t>DESARME DO GERADOR</t>
  </si>
  <si>
    <t>MANUTENÇÃO PALIATIVA - CAIXA DO BT002</t>
  </si>
  <si>
    <t>MAU TEMPO</t>
  </si>
  <si>
    <t>LIMPEZA DE CONE</t>
  </si>
  <si>
    <t>MANUTENÇÃO CORRETIVA - REFORÇO DA ESTRUTURA DA TC</t>
  </si>
  <si>
    <t>MANUTENÇÃO CORRETIVA - AJUSTE DO GRAU DE INCLINAÇÃO DA CORREIA</t>
  </si>
  <si>
    <t>DESARME DA PN002</t>
  </si>
  <si>
    <t>ENGAIOLAMENTO BRITADOR BT001</t>
  </si>
  <si>
    <t>TROCA DE FILTRO DA PNR002</t>
  </si>
  <si>
    <t>SEM OPERADOR</t>
  </si>
  <si>
    <t>TRAVAMENTO DO TAMBOR DO BT001</t>
  </si>
  <si>
    <t>DESARME DO BT001</t>
  </si>
  <si>
    <t>AGUARDANDO PEÇA DO BT001</t>
  </si>
  <si>
    <t>LIMPEZA DE TELA</t>
  </si>
  <si>
    <t>OBSTRUÇÃO PNR001</t>
  </si>
  <si>
    <t>OBSTRUÇÃO BT001</t>
  </si>
  <si>
    <t>FALTA DE EQUIPAMENTO DE APOIO</t>
  </si>
  <si>
    <t>REPARO NA TELA</t>
  </si>
  <si>
    <t>AJUSTE NO BT001</t>
  </si>
  <si>
    <t>TROCA DE CORTINA DE BORRACHA</t>
  </si>
  <si>
    <t>LIMPEZA DA GRELHA</t>
  </si>
  <si>
    <t>DDS ESPECIAL</t>
  </si>
  <si>
    <t>MANUTENÇÃO CORRETIVA - TROCA DE ROLETES</t>
  </si>
  <si>
    <t>MANUTENÇÃO CORRETIVA- AJUSTE NA FREQUÊNCIA</t>
  </si>
  <si>
    <t>MANUTENÇÃO CORRETIVA- TROCA DE CORREIA</t>
  </si>
  <si>
    <t>Data</t>
  </si>
  <si>
    <t>Meta diaria</t>
  </si>
  <si>
    <t>Produção da Planta</t>
  </si>
  <si>
    <t>Condição do Material</t>
  </si>
  <si>
    <t>Capacidade TH</t>
  </si>
  <si>
    <t>Úmido</t>
  </si>
  <si>
    <t>Normal</t>
  </si>
  <si>
    <t>Seco</t>
  </si>
  <si>
    <t>1° Turno</t>
  </si>
  <si>
    <t>2° Turno</t>
  </si>
  <si>
    <t>h. Tr PN01</t>
  </si>
  <si>
    <t>h. Tr PN02</t>
  </si>
  <si>
    <t>h. Tr BT02</t>
  </si>
  <si>
    <t>h. Tr BT01</t>
  </si>
  <si>
    <t>Equipamento</t>
  </si>
  <si>
    <t>Data fim</t>
  </si>
  <si>
    <t>PNR001</t>
  </si>
  <si>
    <t>PNR002</t>
  </si>
  <si>
    <t>BT001</t>
  </si>
  <si>
    <t>BT002</t>
  </si>
  <si>
    <t>Equipamentos</t>
  </si>
  <si>
    <t>Codigo da parada</t>
  </si>
  <si>
    <t>Atividade</t>
  </si>
  <si>
    <t>Engaiolamento</t>
  </si>
  <si>
    <t>Sobrecarga</t>
  </si>
  <si>
    <t>Falha Eletrica</t>
  </si>
  <si>
    <t>Manutenção corretiva</t>
  </si>
  <si>
    <t>Manutenção preventiva</t>
  </si>
  <si>
    <t>Falta de equipamento de apoio</t>
  </si>
  <si>
    <t>Mau tempo</t>
  </si>
  <si>
    <t>Material Umido</t>
  </si>
  <si>
    <t>Outros</t>
  </si>
  <si>
    <t>Falta de mão de obra</t>
  </si>
  <si>
    <t>Manutenção de infraestrutura</t>
  </si>
  <si>
    <t xml:space="preserve">Escavadeira </t>
  </si>
  <si>
    <t>Tempo Parada(h)</t>
  </si>
  <si>
    <t>Parada por segurança</t>
  </si>
  <si>
    <t>EH-08</t>
  </si>
  <si>
    <t xml:space="preserve">Troca da TC </t>
  </si>
  <si>
    <t>Limpeza</t>
  </si>
  <si>
    <t>Limpeza nos retorno da PN</t>
  </si>
  <si>
    <t>Reparo na tela</t>
  </si>
  <si>
    <t>Limpeza no tambor de retorno</t>
  </si>
  <si>
    <t>Engaiolamento por mataco</t>
  </si>
  <si>
    <t>Data do turno</t>
  </si>
  <si>
    <t>PNR02 Perdeu giro</t>
  </si>
  <si>
    <t>Rompimentoda mangueira da EH-08 e troca pela EH05</t>
  </si>
  <si>
    <t>Limpeza da calda do britador</t>
  </si>
  <si>
    <t>Limpeza da calda do britador e limpeza tambor da PN01</t>
  </si>
  <si>
    <t>Troca do rolo livre</t>
  </si>
  <si>
    <t xml:space="preserve">Limpeza da calda do britador </t>
  </si>
  <si>
    <t>Limpeza do tambor da PN01</t>
  </si>
  <si>
    <t>Limpeza do tambor da PN02</t>
  </si>
  <si>
    <t xml:space="preserve">Troca do filtro de óleo </t>
  </si>
  <si>
    <t>Limpeza do tambor PN01 e PN02</t>
  </si>
  <si>
    <t>Cooreia do rebrite soltou</t>
  </si>
  <si>
    <t>Desobistruir material doBT02</t>
  </si>
  <si>
    <t>Alinhar TC doBT02</t>
  </si>
  <si>
    <t>Sobrecarga na TC do over</t>
  </si>
  <si>
    <t xml:space="preserve">Limpeza no retorno </t>
  </si>
  <si>
    <t>Lubrificação do rebrite</t>
  </si>
  <si>
    <t>Tambor da PN01 E 02</t>
  </si>
  <si>
    <t>Alerta vermelho</t>
  </si>
  <si>
    <t>Limpeza do retorno PN01</t>
  </si>
  <si>
    <t xml:space="preserve">Limpeza no tambor de retorno </t>
  </si>
  <si>
    <t>Limpeza de tela com CP</t>
  </si>
  <si>
    <t>Limpeza no tambor de retorno, TC OVER</t>
  </si>
  <si>
    <t>Reparo na tela PN02</t>
  </si>
  <si>
    <t>Parada por DDS especial</t>
  </si>
  <si>
    <t>Reposionamento de guia</t>
  </si>
  <si>
    <t>Limpeza dos tambores de retorno</t>
  </si>
  <si>
    <t>Recolocar cantoneira na tela PN01</t>
  </si>
  <si>
    <t xml:space="preserve">Inspenção </t>
  </si>
  <si>
    <t>Reposicionar guia</t>
  </si>
  <si>
    <t>Chuva e alerta vermelho</t>
  </si>
  <si>
    <t>TC de granulado</t>
  </si>
  <si>
    <t>Troca de tela</t>
  </si>
  <si>
    <t>Desarme</t>
  </si>
  <si>
    <t>Limpeza do tambor over</t>
  </si>
  <si>
    <t>Nivelar BT01</t>
  </si>
  <si>
    <t>Limpeza do tambor de retorno</t>
  </si>
  <si>
    <t>Avaliação de telas</t>
  </si>
  <si>
    <t>Paliativo</t>
  </si>
  <si>
    <t>Limpeza de cone / Aguardando quebra</t>
  </si>
  <si>
    <t>Limpeza de calda</t>
  </si>
  <si>
    <t xml:space="preserve">Limpeza do tambor </t>
  </si>
  <si>
    <t>Lubrificação dos rebrites 01 e 02 e aperto de parafuso</t>
  </si>
  <si>
    <t>Ajuste no britador</t>
  </si>
  <si>
    <t>Troca da EH-08 para EH-04</t>
  </si>
  <si>
    <t>Troca da EH-04 para EH-08</t>
  </si>
  <si>
    <t>Limpeza da calda</t>
  </si>
  <si>
    <t>TC da PN01</t>
  </si>
  <si>
    <t>Reposicionamento de guias laterais e treoca de oleo e filtro do BT01</t>
  </si>
  <si>
    <t>Alinhamento da tc e guia</t>
  </si>
  <si>
    <t>Lubrificações dos equipamentos</t>
  </si>
  <si>
    <t>Limpeza das telas</t>
  </si>
  <si>
    <t>Solda na chapa de guia TC</t>
  </si>
  <si>
    <t xml:space="preserve">Lubrificação dos rebrites </t>
  </si>
  <si>
    <t>Melhoria de acesso a mina</t>
  </si>
  <si>
    <t xml:space="preserve">Troca do rolete </t>
  </si>
  <si>
    <t>Lera proximo ao BT01</t>
  </si>
  <si>
    <t xml:space="preserve">Troca das baterias </t>
  </si>
  <si>
    <t>Abastecimento/Lubrificação</t>
  </si>
  <si>
    <t>Pane mecanica</t>
  </si>
  <si>
    <t>Troca do aclopamento da caixa de distribuição das bombas h.</t>
  </si>
  <si>
    <t>TC principal</t>
  </si>
  <si>
    <t xml:space="preserve">Limpeza tambor </t>
  </si>
  <si>
    <t>Ajuste na mandibula</t>
  </si>
  <si>
    <t>Limpeza no tambor</t>
  </si>
  <si>
    <t>Conferncia na TC over</t>
  </si>
  <si>
    <t xml:space="preserve">Reposicionar parafuso </t>
  </si>
  <si>
    <t>Correia do over rasgou</t>
  </si>
  <si>
    <t>Gerador</t>
  </si>
  <si>
    <t>Teste no gerador</t>
  </si>
  <si>
    <t>Pedra na corria do rebrite</t>
  </si>
  <si>
    <t>Reparona guia</t>
  </si>
  <si>
    <t>Correia soltou do volante</t>
  </si>
  <si>
    <t>Limpeza no rolo</t>
  </si>
  <si>
    <t>Ajuste na abertura do BT01</t>
  </si>
  <si>
    <t xml:space="preserve">Lubrificação </t>
  </si>
  <si>
    <t>Falta 1° turno</t>
  </si>
  <si>
    <t xml:space="preserve">Meta diaria </t>
  </si>
  <si>
    <t>Total produzido</t>
  </si>
  <si>
    <t>Produção 1° T</t>
  </si>
  <si>
    <t>Produção 2° T</t>
  </si>
  <si>
    <t>Parada de manutenção</t>
  </si>
  <si>
    <t>Parada operacional</t>
  </si>
  <si>
    <t>Todos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</si>
</sst>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-F400]h:mm:ss\ AM/PM"/>
    <numFmt numFmtId="165" formatCode="[h]:mm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 vertical="center"/>
    </xf>
    <xf numFmtId="0" fontId="0" fillId="0" borderId="1" xfId="0" applyBorder="1"/>
    <xf numFmtId="164" fontId="0" fillId="0" borderId="0" xfId="0" applyNumberForma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/>
    <xf numFmtId="164" fontId="0" fillId="4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1">
    <cellStyle name="Normal" xfId="0" builtinId="0"/>
  </cellStyles>
  <dxfs count="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[h]:m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165" formatCode="[h]:mm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left style="thin">
          <color theme="1"/>
        </left>
      </border>
    </dxf>
    <dxf>
      <border>
        <left style="thin">
          <color theme="1"/>
        </left>
      </border>
    </dxf>
    <dxf>
      <border>
        <top style="thin">
          <color theme="1"/>
        </top>
      </border>
    </dxf>
    <dxf>
      <border>
        <top style="thin">
          <color theme="1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1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</dxf>
    <dxf>
      <font>
        <color theme="1"/>
      </font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</dxfs>
  <tableStyles count="1" defaultTableStyle="TableStyleMedium2" defaultPivotStyle="PivotStyleLight16">
    <tableStyle name="TableStyleLight8 2" pivot="0" count="9" xr9:uid="{12BB1407-FDB8-4ED4-BC42-B730FA9EAE55}">
      <tableStyleElement type="wholeTable" dxfId="85"/>
      <tableStyleElement type="headerRow" dxfId="84"/>
      <tableStyleElement type="totalRow" dxfId="83"/>
      <tableStyleElement type="firstColumn" dxfId="82"/>
      <tableStyleElement type="lastColumn" dxfId="81"/>
      <tableStyleElement type="firstRowStripe" dxfId="80"/>
      <tableStyleElement type="secondRowStripe" dxfId="79"/>
      <tableStyleElement type="firstColumnStripe" dxfId="78"/>
      <tableStyleElement type="secondColumnStripe" dxfId="7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3F451B-A15A-45ED-A7E0-DF9A5C30697C}" name="Tabela3" displayName="Tabela3" ref="A1:N54" headerRowDxfId="76" dataDxfId="75">
  <autoFilter ref="A1:N54" xr:uid="{A43F451B-A15A-45ED-A7E0-DF9A5C30697C}">
    <filterColumn colId="0">
      <filters>
        <dateGroupItem year="2025" month="12" dateTimeGrouping="month"/>
      </filters>
    </filterColumn>
  </autoFilter>
  <tableColumns count="14">
    <tableColumn id="1" xr3:uid="{208802F5-1D2C-43F2-B666-62B983336342}" name="DATA" totalsRowLabel="Total" dataDxfId="74" totalsRowDxfId="73"/>
    <tableColumn id="2" xr3:uid="{F4A6ACA5-20E1-4621-A3F4-261F986BAE31}" name="HE INCIAL - BRITADOR.P" dataDxfId="72" totalsRowDxfId="71"/>
    <tableColumn id="3" xr3:uid="{CD4D6080-60FA-43DD-A116-941DF3588317}" name="HE FINAL - BRITADOR.P" dataDxfId="70" totalsRowDxfId="69"/>
    <tableColumn id="4" xr3:uid="{ACBBE70D-6E54-4ABD-8804-64D89A2D4196}" name="HE INICIAL - BRITADOR.S" dataDxfId="68" totalsRowDxfId="67"/>
    <tableColumn id="5" xr3:uid="{E7AC9B2C-2FA6-4258-8F62-4447051DE8B0}" name="HE FINAL - BRITADOR.S" dataDxfId="66" totalsRowDxfId="65"/>
    <tableColumn id="6" xr3:uid="{FF6E8F1E-738A-489F-8717-96C164C318E6}" name="HE INICIAL - PNR01" dataDxfId="64" totalsRowDxfId="63"/>
    <tableColumn id="7" xr3:uid="{8E8C46D9-44C4-4EF2-87D0-DC3B4D184EDA}" name="HE FINAL - PNR01" dataDxfId="62" totalsRowDxfId="61"/>
    <tableColumn id="8" xr3:uid="{C8B52B64-442E-4F4D-A442-7291A87A9FA2}" name="HE INICIAL - PNR02" dataDxfId="60" totalsRowDxfId="59"/>
    <tableColumn id="9" xr3:uid="{07168F27-0A4A-4C1B-8B03-099C58B511AB}" name="HE FINAL - PNR02" dataDxfId="58" totalsRowDxfId="57"/>
    <tableColumn id="10" xr3:uid="{707479EB-9335-449A-8C8B-056F38CA3584}" name="Turno" dataDxfId="56" totalsRowDxfId="55"/>
    <tableColumn id="11" xr3:uid="{6BDDE97A-6E3A-4CE1-9804-788B97467AEA}" name="h. Tr BT01" dataDxfId="54" totalsRowDxfId="53">
      <calculatedColumnFormula>Tabela3[[#This Row],[HE FINAL - BRITADOR.P]]-Tabela3[[#This Row],[HE INCIAL - BRITADOR.P]]</calculatedColumnFormula>
    </tableColumn>
    <tableColumn id="12" xr3:uid="{DFD51DF5-CDF2-466B-AF28-745F5192E1FB}" name="h. Tr BT02" dataDxfId="52" totalsRowDxfId="51">
      <calculatedColumnFormula>Tabela3[[#This Row],[HE FINAL - BRITADOR.S]]-Tabela3[[#This Row],[HE INICIAL - BRITADOR.S]]</calculatedColumnFormula>
    </tableColumn>
    <tableColumn id="13" xr3:uid="{4B980298-68E6-4E70-A489-099CDE7739F5}" name="h. Tr PN01" dataDxfId="50" totalsRowDxfId="49">
      <calculatedColumnFormula>Tabela3[[#This Row],[HE FINAL - PNR01]]-Tabela3[[#This Row],[HE INICIAL - PNR01]]</calculatedColumnFormula>
    </tableColumn>
    <tableColumn id="14" xr3:uid="{5A357367-B092-4254-BD4C-A7B620F2C46C}" name="h. Tr PN02" totalsRowFunction="sum" dataDxfId="48" totalsRowDxfId="47">
      <calculatedColumnFormula>Tabela3[[#This Row],[HE FINAL - PNR02]]-Tabela3[[#This Row],[HE INICIAL - PNR02]]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D28B98-47A8-45F6-8A84-733C8E7CC2E1}" name="FManutencao" displayName="FManutencao" ref="B2:K450" totalsRowShown="0" headerRowDxfId="46" dataDxfId="45">
  <autoFilter ref="B2:K450" xr:uid="{23D28B98-47A8-45F6-8A84-733C8E7CC2E1}">
    <filterColumn colId="0">
      <filters>
        <dateGroupItem year="2025" month="11" day="1" dateTimeGrouping="day"/>
      </filters>
    </filterColumn>
    <filterColumn colId="1">
      <filters>
        <filter val="03:01:00"/>
      </filters>
    </filterColumn>
  </autoFilter>
  <tableColumns count="10">
    <tableColumn id="1" xr3:uid="{B0CC80BE-FD90-4544-A4BE-D9E55701BF34}" name="Data Início" dataDxfId="44"/>
    <tableColumn id="10" xr3:uid="{CB0A40CE-A9BE-4ECE-8032-48D06B2CFC91}" name="Hora Início" dataDxfId="43" totalsRowDxfId="42"/>
    <tableColumn id="2" xr3:uid="{70C10BBA-AC13-475D-897C-2409251CE088}" name="Planta" dataDxfId="41" totalsRowDxfId="40"/>
    <tableColumn id="3" xr3:uid="{C6FA219F-3833-4F4C-A86B-3A90210470D9}" name="Turno" dataDxfId="39" totalsRowDxfId="38"/>
    <tableColumn id="4" xr3:uid="{31F1906D-2F2F-4901-9585-5D3C81F0E6CC}" name="Tipo de Parada" dataDxfId="37" totalsRowDxfId="36"/>
    <tableColumn id="5" xr3:uid="{AB8A9CF2-BD5B-4782-847A-C9482600D255}" name="Código da Parada" dataDxfId="35" totalsRowDxfId="34"/>
    <tableColumn id="6" xr3:uid="{ED8B261D-DCF1-4158-8415-FFC321FFC9E9}" name="Descrição detalhada da parada" dataDxfId="33" totalsRowDxfId="32"/>
    <tableColumn id="9" xr3:uid="{FD4292CB-F3EF-430F-93B2-23273DB2F484}" name="Data Fim" dataDxfId="31" totalsRowDxfId="30"/>
    <tableColumn id="8" xr3:uid="{521E57AF-486C-4C09-8B12-A47D63AE33D4}" name="Hora Fim" dataDxfId="29" totalsRowDxfId="28"/>
    <tableColumn id="11" xr3:uid="{6B82AF13-E342-4526-9A3A-96E10A26BEE4}" name="Tempo Parada" dataDxfId="27">
      <calculatedColumnFormula>IFERROR(IF(FManutencao[[#This Row],[Hora Fim]]="","",(FManutencao[[#This Row],[Data Fim]]+FManutencao[[#This Row],[Hora Fim]])-(FManutencao[[#This Row],[Data Início]]+FManutencao[[#This Row],[Hora Início]])),"Data Fim errada")</calculatedColumnFormula>
    </tableColumn>
  </tableColumns>
  <tableStyleInfo name="TableStyleLight8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0E3AFD-01C7-4327-990A-856D8CC1D517}" name="FProducao" displayName="FProducao" ref="B2:D33" totalsRowShown="0" headerRowDxfId="26">
  <tableColumns count="3">
    <tableColumn id="1" xr3:uid="{09141C5E-4BB4-428C-B1C2-679B3E4FFA5D}" name="Data" dataDxfId="25"/>
    <tableColumn id="4" xr3:uid="{4A946CD4-882E-48C8-AD9D-E37B6621A8E4}" name="Meta diaria" dataDxfId="24"/>
    <tableColumn id="2" xr3:uid="{4C864DB6-49CA-44D6-B26E-86D65801B3EC}" name="Produção da Planta" dataDxfId="23"/>
  </tableColumns>
  <tableStyleInfo name="TableStyleLight8 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97C0C7F-5AE2-4328-8CB6-27E3EF84807F}" name="Tabela6" displayName="Tabela6" ref="A1:E32" totalsRowShown="0" headerRowDxfId="22" dataDxfId="21">
  <autoFilter ref="A1:E32" xr:uid="{A97C0C7F-5AE2-4328-8CB6-27E3EF84807F}"/>
  <tableColumns count="5">
    <tableColumn id="1" xr3:uid="{6B02A207-5B38-4E2E-92DE-11DCE5082160}" name="Data" dataDxfId="20"/>
    <tableColumn id="2" xr3:uid="{BF815CEB-3185-421A-81A3-44782C295F75}" name="Meta diaria " dataDxfId="19"/>
    <tableColumn id="3" xr3:uid="{A8484524-C190-4280-AB1A-97E5F65B6EC7}" name="Produção 1° T" dataDxfId="18"/>
    <tableColumn id="4" xr3:uid="{92F8E006-4224-43AD-A8FB-C2329FC0DB29}" name="Produção 2° T" dataDxfId="17"/>
    <tableColumn id="5" xr3:uid="{B798540E-CC1A-4B1D-8B4C-879B32A7C2E8}" name="Total produzido" dataDxfId="16">
      <calculatedColumnFormula>Tabela6[[#This Row],[Produção 1° T]]+Tabela6[[#This Row],[Produção 2° T]]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26B763-5FF3-4D41-A6A7-374C4C785F7B}" name="DMaterialcondicao" displayName="DMaterialcondicao" ref="B2:C5" totalsRowShown="0" headerRowDxfId="15">
  <tableColumns count="2">
    <tableColumn id="2" xr3:uid="{613A4EE9-E04C-466B-BC97-40D6136BB2FB}" name="Condição do Material" dataDxfId="14"/>
    <tableColumn id="1" xr3:uid="{6F8F47D9-2F26-4371-9F21-C897C427F458}" name="Capacidade TH" dataDxfId="13"/>
  </tableColumns>
  <tableStyleInfo name="TableStyleLight8 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8BA7B5-EC56-46D9-8238-696732FB60B1}" name="Paradas" displayName="Paradas" ref="A1:K139" totalsRowShown="0" headerRowDxfId="12" dataDxfId="11">
  <autoFilter ref="A1:K139" xr:uid="{2C8BA7B5-EC56-46D9-8238-696732FB60B1}"/>
  <tableColumns count="11">
    <tableColumn id="13" xr3:uid="{61B0A018-C86A-47D1-B222-B6FD80622538}" name="Data do turno" dataDxfId="10"/>
    <tableColumn id="14" xr3:uid="{696CE5A2-CDF6-4987-97DD-265ED56D023D}" name="Turno" dataDxfId="9"/>
    <tableColumn id="1" xr3:uid="{5802E362-354C-4D91-935F-ACFABB03E9CB}" name="Data Início" dataDxfId="8"/>
    <tableColumn id="2" xr3:uid="{152932F8-9850-4877-BF03-328DA604F34D}" name="Data fim" dataDxfId="7"/>
    <tableColumn id="3" xr3:uid="{69511BE7-FE3E-418E-8619-AF51325823B5}" name="Hora Início" dataDxfId="6"/>
    <tableColumn id="4" xr3:uid="{7CFD4CB1-3F1A-4F75-8AC4-14C100C83451}" name="Hora Fim" dataDxfId="5"/>
    <tableColumn id="6" xr3:uid="{9624C7DC-6F34-4DAB-8A2D-1814C8BA86DC}" name="Equipamento" dataDxfId="4"/>
    <tableColumn id="7" xr3:uid="{13832BEE-8A15-4DBB-B0BE-D8CD59C49C11}" name="Tipo de Parada" dataDxfId="3"/>
    <tableColumn id="9" xr3:uid="{12E3FD98-1617-494C-ADB4-83BE58937A73}" name="Atividade" dataDxfId="2"/>
    <tableColumn id="10" xr3:uid="{DDBFD2F6-27E1-4B63-A782-8252A62A3035}" name="Descrição detalhada da parada" dataDxfId="1"/>
    <tableColumn id="11" xr3:uid="{92BD3F35-807D-4013-B07A-70EF758276FE}" name="Tempo Parada(h)" dataDxfId="0">
      <calculatedColumnFormula>IFERROR(IF(Paradas[[#This Row],[Hora Fim]]="","",(Paradas[[#This Row],[Data fim]]+Paradas[[#This Row],[Hora Fim]])-(Paradas[[#This Row],[Data Início]]+Paradas[[#This Row],[Hora Início]])),"Data Fim errada")</calculatedColumnFormula>
    </tableColumn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7579D-4D3F-4674-827C-08D6AD100221}">
  <dimension ref="A1:N54"/>
  <sheetViews>
    <sheetView tabSelected="1" workbookViewId="0">
      <selection activeCell="F14" sqref="F14"/>
    </sheetView>
  </sheetViews>
  <sheetFormatPr defaultColWidth="8.88671875" defaultRowHeight="14.4" x14ac:dyDescent="0.3"/>
  <cols>
    <col min="1" max="1" width="10.44140625" style="2" bestFit="1" customWidth="1"/>
    <col min="2" max="2" width="27.6640625" style="3" bestFit="1" customWidth="1"/>
    <col min="3" max="3" width="26.6640625" style="3" bestFit="1" customWidth="1"/>
    <col min="4" max="4" width="28.33203125" style="3" customWidth="1"/>
    <col min="5" max="5" width="26.6640625" style="3" customWidth="1"/>
    <col min="6" max="6" width="23" style="4" bestFit="1" customWidth="1"/>
    <col min="7" max="7" width="21.33203125" style="4" bestFit="1" customWidth="1"/>
    <col min="8" max="8" width="23" style="4" bestFit="1" customWidth="1"/>
    <col min="9" max="9" width="21.33203125" style="4" bestFit="1" customWidth="1"/>
    <col min="10" max="10" width="8.88671875" style="4"/>
    <col min="11" max="12" width="14" style="4" bestFit="1" customWidth="1"/>
    <col min="13" max="14" width="14.44140625" style="4" bestFit="1" customWidth="1"/>
    <col min="15" max="16384" width="8.88671875" style="4"/>
  </cols>
  <sheetData>
    <row r="1" spans="1:14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12</v>
      </c>
      <c r="K1" s="3" t="s">
        <v>78</v>
      </c>
      <c r="L1" s="3" t="s">
        <v>77</v>
      </c>
      <c r="M1" s="3" t="s">
        <v>75</v>
      </c>
      <c r="N1" s="3" t="s">
        <v>76</v>
      </c>
    </row>
    <row r="2" spans="1:14" hidden="1" x14ac:dyDescent="0.3">
      <c r="A2" s="2">
        <v>45962</v>
      </c>
      <c r="B2" s="5">
        <v>2335.3000000000002</v>
      </c>
      <c r="C2" s="5">
        <v>2352</v>
      </c>
      <c r="D2" s="5">
        <v>2335.3000000000002</v>
      </c>
      <c r="E2" s="5">
        <v>2352</v>
      </c>
      <c r="F2" s="5">
        <v>2335.3000000000002</v>
      </c>
      <c r="G2" s="5">
        <v>2352</v>
      </c>
      <c r="H2" s="5">
        <v>2335.3000000000002</v>
      </c>
      <c r="I2" s="5">
        <v>2352</v>
      </c>
      <c r="J2" s="13"/>
      <c r="K2" s="13">
        <f>Tabela3[[#This Row],[HE FINAL - BRITADOR.P]]-Tabela3[[#This Row],[HE INCIAL - BRITADOR.P]]</f>
        <v>16.699999999999818</v>
      </c>
      <c r="L2" s="13">
        <f>Tabela3[[#This Row],[HE FINAL - BRITADOR.S]]-Tabela3[[#This Row],[HE INICIAL - BRITADOR.S]]</f>
        <v>16.699999999999818</v>
      </c>
      <c r="M2" s="13">
        <f>Tabela3[[#This Row],[HE FINAL - PNR01]]-Tabela3[[#This Row],[HE INICIAL - PNR01]]</f>
        <v>16.699999999999818</v>
      </c>
      <c r="N2" s="13">
        <f>Tabela3[[#This Row],[HE FINAL - PNR02]]-Tabela3[[#This Row],[HE INICIAL - PNR02]]</f>
        <v>16.699999999999818</v>
      </c>
    </row>
    <row r="3" spans="1:14" hidden="1" x14ac:dyDescent="0.3">
      <c r="A3" s="2">
        <v>45963</v>
      </c>
      <c r="B3" s="5">
        <v>2352</v>
      </c>
      <c r="C3" s="5">
        <v>2356.4</v>
      </c>
      <c r="D3" s="5">
        <v>2352</v>
      </c>
      <c r="E3" s="5">
        <v>2356.4</v>
      </c>
      <c r="F3" s="5">
        <v>2352</v>
      </c>
      <c r="G3" s="5">
        <v>2356.4</v>
      </c>
      <c r="H3" s="5">
        <v>2352</v>
      </c>
      <c r="I3" s="5">
        <v>2356.4</v>
      </c>
      <c r="J3" s="13"/>
      <c r="K3" s="13">
        <f>Tabela3[[#This Row],[HE FINAL - BRITADOR.P]]-Tabela3[[#This Row],[HE INCIAL - BRITADOR.P]]</f>
        <v>4.4000000000000909</v>
      </c>
      <c r="L3" s="13">
        <f>Tabela3[[#This Row],[HE FINAL - BRITADOR.S]]-Tabela3[[#This Row],[HE INICIAL - BRITADOR.S]]</f>
        <v>4.4000000000000909</v>
      </c>
      <c r="M3" s="13">
        <f>Tabela3[[#This Row],[HE FINAL - PNR01]]-Tabela3[[#This Row],[HE INICIAL - PNR01]]</f>
        <v>4.4000000000000909</v>
      </c>
      <c r="N3" s="13">
        <f>Tabela3[[#This Row],[HE FINAL - PNR02]]-Tabela3[[#This Row],[HE INICIAL - PNR02]]</f>
        <v>4.4000000000000909</v>
      </c>
    </row>
    <row r="4" spans="1:14" hidden="1" x14ac:dyDescent="0.3">
      <c r="A4" s="2">
        <v>45964</v>
      </c>
      <c r="B4" s="5">
        <v>2356.4</v>
      </c>
      <c r="C4" s="5">
        <v>2368</v>
      </c>
      <c r="D4" s="5">
        <v>2356.4</v>
      </c>
      <c r="E4" s="5">
        <v>2368</v>
      </c>
      <c r="F4" s="5">
        <v>2356.4</v>
      </c>
      <c r="G4" s="5">
        <v>2368</v>
      </c>
      <c r="H4" s="5">
        <v>2356.4</v>
      </c>
      <c r="I4" s="5">
        <v>2368</v>
      </c>
      <c r="J4" s="13"/>
      <c r="K4" s="13">
        <f>Tabela3[[#This Row],[HE FINAL - BRITADOR.P]]-Tabela3[[#This Row],[HE INCIAL - BRITADOR.P]]</f>
        <v>11.599999999999909</v>
      </c>
      <c r="L4" s="13">
        <f>Tabela3[[#This Row],[HE FINAL - BRITADOR.S]]-Tabela3[[#This Row],[HE INICIAL - BRITADOR.S]]</f>
        <v>11.599999999999909</v>
      </c>
      <c r="M4" s="13">
        <f>Tabela3[[#This Row],[HE FINAL - PNR01]]-Tabela3[[#This Row],[HE INICIAL - PNR01]]</f>
        <v>11.599999999999909</v>
      </c>
      <c r="N4" s="13">
        <f>Tabela3[[#This Row],[HE FINAL - PNR02]]-Tabela3[[#This Row],[HE INICIAL - PNR02]]</f>
        <v>11.599999999999909</v>
      </c>
    </row>
    <row r="5" spans="1:14" hidden="1" x14ac:dyDescent="0.3">
      <c r="A5" s="2">
        <v>45965</v>
      </c>
      <c r="B5" s="5">
        <v>2368</v>
      </c>
      <c r="C5" s="5">
        <v>2388.4</v>
      </c>
      <c r="D5" s="5">
        <v>2368</v>
      </c>
      <c r="E5" s="5">
        <v>2388.4</v>
      </c>
      <c r="F5" s="5">
        <v>2368</v>
      </c>
      <c r="G5" s="5">
        <v>2388.4</v>
      </c>
      <c r="H5" s="5">
        <v>2368</v>
      </c>
      <c r="I5" s="5">
        <v>2388.4</v>
      </c>
      <c r="J5" s="13"/>
      <c r="K5" s="13">
        <f>Tabela3[[#This Row],[HE FINAL - BRITADOR.P]]-Tabela3[[#This Row],[HE INCIAL - BRITADOR.P]]</f>
        <v>20.400000000000091</v>
      </c>
      <c r="L5" s="13">
        <f>Tabela3[[#This Row],[HE FINAL - BRITADOR.S]]-Tabela3[[#This Row],[HE INICIAL - BRITADOR.S]]</f>
        <v>20.400000000000091</v>
      </c>
      <c r="M5" s="13">
        <f>Tabela3[[#This Row],[HE FINAL - PNR01]]-Tabela3[[#This Row],[HE INICIAL - PNR01]]</f>
        <v>20.400000000000091</v>
      </c>
      <c r="N5" s="13">
        <f>Tabela3[[#This Row],[HE FINAL - PNR02]]-Tabela3[[#This Row],[HE INICIAL - PNR02]]</f>
        <v>20.400000000000091</v>
      </c>
    </row>
    <row r="6" spans="1:14" hidden="1" x14ac:dyDescent="0.3">
      <c r="A6" s="2">
        <v>45966</v>
      </c>
      <c r="B6" s="5">
        <v>2388.4</v>
      </c>
      <c r="C6" s="5">
        <v>2411.4</v>
      </c>
      <c r="D6" s="5">
        <v>2388.4</v>
      </c>
      <c r="E6" s="5">
        <v>2411.4</v>
      </c>
      <c r="F6" s="5">
        <v>2388.4</v>
      </c>
      <c r="G6" s="5">
        <v>2411.4</v>
      </c>
      <c r="H6" s="5">
        <v>2388.4</v>
      </c>
      <c r="I6" s="5">
        <v>2411.4</v>
      </c>
      <c r="J6" s="13"/>
      <c r="K6" s="13">
        <f>Tabela3[[#This Row],[HE FINAL - BRITADOR.P]]-Tabela3[[#This Row],[HE INCIAL - BRITADOR.P]]</f>
        <v>23</v>
      </c>
      <c r="L6" s="13">
        <f>Tabela3[[#This Row],[HE FINAL - BRITADOR.S]]-Tabela3[[#This Row],[HE INICIAL - BRITADOR.S]]</f>
        <v>23</v>
      </c>
      <c r="M6" s="13">
        <f>Tabela3[[#This Row],[HE FINAL - PNR01]]-Tabela3[[#This Row],[HE INICIAL - PNR01]]</f>
        <v>23</v>
      </c>
      <c r="N6" s="13">
        <f>Tabela3[[#This Row],[HE FINAL - PNR02]]-Tabela3[[#This Row],[HE INICIAL - PNR02]]</f>
        <v>23</v>
      </c>
    </row>
    <row r="7" spans="1:14" hidden="1" x14ac:dyDescent="0.3">
      <c r="A7" s="2">
        <v>45967</v>
      </c>
      <c r="B7" s="5">
        <v>2411.4</v>
      </c>
      <c r="C7" s="5">
        <v>2434.8000000000002</v>
      </c>
      <c r="D7" s="5">
        <v>2411.4</v>
      </c>
      <c r="E7" s="5">
        <v>2434.8000000000002</v>
      </c>
      <c r="F7" s="5">
        <v>2411.4</v>
      </c>
      <c r="G7" s="5">
        <v>2434.8000000000002</v>
      </c>
      <c r="H7" s="5">
        <v>2411.4</v>
      </c>
      <c r="I7" s="5">
        <v>2434.8000000000002</v>
      </c>
      <c r="J7" s="13"/>
      <c r="K7" s="13">
        <f>Tabela3[[#This Row],[HE FINAL - BRITADOR.P]]-Tabela3[[#This Row],[HE INCIAL - BRITADOR.P]]</f>
        <v>23.400000000000091</v>
      </c>
      <c r="L7" s="13">
        <f>Tabela3[[#This Row],[HE FINAL - BRITADOR.S]]-Tabela3[[#This Row],[HE INICIAL - BRITADOR.S]]</f>
        <v>23.400000000000091</v>
      </c>
      <c r="M7" s="13">
        <f>Tabela3[[#This Row],[HE FINAL - PNR01]]-Tabela3[[#This Row],[HE INICIAL - PNR01]]</f>
        <v>23.400000000000091</v>
      </c>
      <c r="N7" s="13">
        <f>Tabela3[[#This Row],[HE FINAL - PNR02]]-Tabela3[[#This Row],[HE INICIAL - PNR02]]</f>
        <v>23.400000000000091</v>
      </c>
    </row>
    <row r="8" spans="1:14" hidden="1" x14ac:dyDescent="0.3">
      <c r="A8" s="2">
        <v>45968</v>
      </c>
      <c r="B8" s="5">
        <v>2435.1999999999998</v>
      </c>
      <c r="C8" s="5">
        <v>2458</v>
      </c>
      <c r="D8" s="5">
        <v>2435.1999999999998</v>
      </c>
      <c r="E8" s="5">
        <v>2458</v>
      </c>
      <c r="F8" s="5">
        <v>2435.1999999999998</v>
      </c>
      <c r="G8" s="5">
        <v>2458</v>
      </c>
      <c r="H8" s="5">
        <v>2435.1999999999998</v>
      </c>
      <c r="I8" s="5">
        <v>2458</v>
      </c>
      <c r="J8" s="13"/>
      <c r="K8" s="13">
        <f>Tabela3[[#This Row],[HE FINAL - BRITADOR.P]]-Tabela3[[#This Row],[HE INCIAL - BRITADOR.P]]</f>
        <v>22.800000000000182</v>
      </c>
      <c r="L8" s="13">
        <f>Tabela3[[#This Row],[HE FINAL - BRITADOR.S]]-Tabela3[[#This Row],[HE INICIAL - BRITADOR.S]]</f>
        <v>22.800000000000182</v>
      </c>
      <c r="M8" s="13">
        <f>Tabela3[[#This Row],[HE FINAL - PNR01]]-Tabela3[[#This Row],[HE INICIAL - PNR01]]</f>
        <v>22.800000000000182</v>
      </c>
      <c r="N8" s="13">
        <f>Tabela3[[#This Row],[HE FINAL - PNR02]]-Tabela3[[#This Row],[HE INICIAL - PNR02]]</f>
        <v>22.800000000000182</v>
      </c>
    </row>
    <row r="9" spans="1:14" hidden="1" x14ac:dyDescent="0.3">
      <c r="A9" s="2">
        <v>45969</v>
      </c>
      <c r="B9" s="5">
        <v>2458</v>
      </c>
      <c r="C9" s="5">
        <v>2458</v>
      </c>
      <c r="D9" s="5">
        <v>2458</v>
      </c>
      <c r="E9" s="5">
        <v>2458</v>
      </c>
      <c r="F9" s="5">
        <v>2458</v>
      </c>
      <c r="G9" s="5">
        <v>2458</v>
      </c>
      <c r="H9" s="5">
        <v>2458</v>
      </c>
      <c r="I9" s="5">
        <v>2458</v>
      </c>
      <c r="J9" s="13"/>
      <c r="K9" s="13">
        <f>Tabela3[[#This Row],[HE FINAL - BRITADOR.P]]-Tabela3[[#This Row],[HE INCIAL - BRITADOR.P]]</f>
        <v>0</v>
      </c>
      <c r="L9" s="13">
        <f>Tabela3[[#This Row],[HE FINAL - BRITADOR.S]]-Tabela3[[#This Row],[HE INICIAL - BRITADOR.S]]</f>
        <v>0</v>
      </c>
      <c r="M9" s="13">
        <f>Tabela3[[#This Row],[HE FINAL - PNR01]]-Tabela3[[#This Row],[HE INICIAL - PNR01]]</f>
        <v>0</v>
      </c>
      <c r="N9" s="13">
        <f>Tabela3[[#This Row],[HE FINAL - PNR02]]-Tabela3[[#This Row],[HE INICIAL - PNR02]]</f>
        <v>0</v>
      </c>
    </row>
    <row r="10" spans="1:14" hidden="1" x14ac:dyDescent="0.3">
      <c r="A10" s="2">
        <v>45970</v>
      </c>
      <c r="B10" s="5">
        <v>2459.3000000000002</v>
      </c>
      <c r="C10" s="5">
        <v>2473.9</v>
      </c>
      <c r="D10" s="5">
        <v>2459.3000000000002</v>
      </c>
      <c r="E10" s="5">
        <v>2473.9</v>
      </c>
      <c r="F10" s="5">
        <v>2459.3000000000002</v>
      </c>
      <c r="G10" s="5">
        <v>2473.9</v>
      </c>
      <c r="H10" s="5">
        <v>2459.3000000000002</v>
      </c>
      <c r="I10" s="5">
        <v>2473.9</v>
      </c>
      <c r="J10" s="13"/>
      <c r="K10" s="13">
        <f>Tabela3[[#This Row],[HE FINAL - BRITADOR.P]]-Tabela3[[#This Row],[HE INCIAL - BRITADOR.P]]</f>
        <v>14.599999999999909</v>
      </c>
      <c r="L10" s="13">
        <f>Tabela3[[#This Row],[HE FINAL - BRITADOR.S]]-Tabela3[[#This Row],[HE INICIAL - BRITADOR.S]]</f>
        <v>14.599999999999909</v>
      </c>
      <c r="M10" s="13">
        <f>Tabela3[[#This Row],[HE FINAL - PNR01]]-Tabela3[[#This Row],[HE INICIAL - PNR01]]</f>
        <v>14.599999999999909</v>
      </c>
      <c r="N10" s="13">
        <f>Tabela3[[#This Row],[HE FINAL - PNR02]]-Tabela3[[#This Row],[HE INICIAL - PNR02]]</f>
        <v>14.599999999999909</v>
      </c>
    </row>
    <row r="11" spans="1:14" hidden="1" x14ac:dyDescent="0.3">
      <c r="A11" s="2">
        <v>45971</v>
      </c>
      <c r="B11" s="5">
        <v>2473.9</v>
      </c>
      <c r="C11" s="5">
        <v>2492.4</v>
      </c>
      <c r="D11" s="5">
        <v>2473.9</v>
      </c>
      <c r="E11" s="5">
        <v>2492.4</v>
      </c>
      <c r="F11" s="5">
        <v>2473.9</v>
      </c>
      <c r="G11" s="5">
        <v>2492.4</v>
      </c>
      <c r="H11" s="5">
        <v>2473.9</v>
      </c>
      <c r="I11" s="5">
        <v>2492.4</v>
      </c>
      <c r="J11" s="13"/>
      <c r="K11" s="13">
        <f>Tabela3[[#This Row],[HE FINAL - BRITADOR.P]]-Tabela3[[#This Row],[HE INCIAL - BRITADOR.P]]</f>
        <v>18.5</v>
      </c>
      <c r="L11" s="13">
        <f>Tabela3[[#This Row],[HE FINAL - BRITADOR.S]]-Tabela3[[#This Row],[HE INICIAL - BRITADOR.S]]</f>
        <v>18.5</v>
      </c>
      <c r="M11" s="13">
        <f>Tabela3[[#This Row],[HE FINAL - PNR01]]-Tabela3[[#This Row],[HE INICIAL - PNR01]]</f>
        <v>18.5</v>
      </c>
      <c r="N11" s="13">
        <f>Tabela3[[#This Row],[HE FINAL - PNR02]]-Tabela3[[#This Row],[HE INICIAL - PNR02]]</f>
        <v>18.5</v>
      </c>
    </row>
    <row r="12" spans="1:14" hidden="1" x14ac:dyDescent="0.3">
      <c r="A12" s="2">
        <v>45972</v>
      </c>
      <c r="B12" s="5">
        <v>2493</v>
      </c>
      <c r="C12" s="5">
        <v>2514.4</v>
      </c>
      <c r="D12" s="5">
        <v>2493</v>
      </c>
      <c r="E12" s="5">
        <v>2514.4</v>
      </c>
      <c r="F12" s="5">
        <v>2493</v>
      </c>
      <c r="G12" s="5">
        <v>2514.4</v>
      </c>
      <c r="H12" s="5">
        <v>2493</v>
      </c>
      <c r="I12" s="5">
        <v>2514.4</v>
      </c>
      <c r="J12" s="13"/>
      <c r="K12" s="13">
        <f>Tabela3[[#This Row],[HE FINAL - BRITADOR.P]]-Tabela3[[#This Row],[HE INCIAL - BRITADOR.P]]</f>
        <v>21.400000000000091</v>
      </c>
      <c r="L12" s="13">
        <f>Tabela3[[#This Row],[HE FINAL - BRITADOR.S]]-Tabela3[[#This Row],[HE INICIAL - BRITADOR.S]]</f>
        <v>21.400000000000091</v>
      </c>
      <c r="M12" s="13">
        <f>Tabela3[[#This Row],[HE FINAL - PNR01]]-Tabela3[[#This Row],[HE INICIAL - PNR01]]</f>
        <v>21.400000000000091</v>
      </c>
      <c r="N12" s="13">
        <f>Tabela3[[#This Row],[HE FINAL - PNR02]]-Tabela3[[#This Row],[HE INICIAL - PNR02]]</f>
        <v>21.400000000000091</v>
      </c>
    </row>
    <row r="13" spans="1:14" hidden="1" x14ac:dyDescent="0.3">
      <c r="A13" s="2">
        <v>45973</v>
      </c>
      <c r="B13" s="5">
        <v>2514.4</v>
      </c>
      <c r="C13" s="5">
        <v>2537.8000000000002</v>
      </c>
      <c r="D13" s="5">
        <v>2514.4</v>
      </c>
      <c r="E13" s="5">
        <v>2537.8000000000002</v>
      </c>
      <c r="F13" s="5">
        <v>2514.4</v>
      </c>
      <c r="G13" s="5">
        <v>2537.8000000000002</v>
      </c>
      <c r="H13" s="5">
        <v>2514.4</v>
      </c>
      <c r="I13" s="5">
        <v>2537.8000000000002</v>
      </c>
      <c r="J13" s="13"/>
      <c r="K13" s="13">
        <f>Tabela3[[#This Row],[HE FINAL - BRITADOR.P]]-Tabela3[[#This Row],[HE INCIAL - BRITADOR.P]]</f>
        <v>23.400000000000091</v>
      </c>
      <c r="L13" s="13">
        <f>Tabela3[[#This Row],[HE FINAL - BRITADOR.S]]-Tabela3[[#This Row],[HE INICIAL - BRITADOR.S]]</f>
        <v>23.400000000000091</v>
      </c>
      <c r="M13" s="13">
        <f>Tabela3[[#This Row],[HE FINAL - PNR01]]-Tabela3[[#This Row],[HE INICIAL - PNR01]]</f>
        <v>23.400000000000091</v>
      </c>
      <c r="N13" s="13">
        <f>Tabela3[[#This Row],[HE FINAL - PNR02]]-Tabela3[[#This Row],[HE INICIAL - PNR02]]</f>
        <v>23.400000000000091</v>
      </c>
    </row>
    <row r="14" spans="1:14" x14ac:dyDescent="0.3">
      <c r="A14" s="2">
        <v>45992</v>
      </c>
      <c r="B14" s="5">
        <v>2899.8</v>
      </c>
      <c r="C14" s="5">
        <v>2908.8</v>
      </c>
      <c r="D14" s="5"/>
      <c r="E14" s="5"/>
      <c r="F14" s="5">
        <v>3353</v>
      </c>
      <c r="G14" s="5">
        <v>3360.6</v>
      </c>
      <c r="H14" s="5">
        <v>1759</v>
      </c>
      <c r="I14" s="5">
        <v>1768.6</v>
      </c>
      <c r="J14" s="13" t="s">
        <v>73</v>
      </c>
      <c r="K14" s="13">
        <f>Tabela3[[#This Row],[HE FINAL - BRITADOR.P]]-Tabela3[[#This Row],[HE INCIAL - BRITADOR.P]]</f>
        <v>9</v>
      </c>
      <c r="L14" s="13">
        <f>Tabela3[[#This Row],[HE FINAL - BRITADOR.S]]-Tabela3[[#This Row],[HE INICIAL - BRITADOR.S]]</f>
        <v>0</v>
      </c>
      <c r="M14" s="13">
        <f>Tabela3[[#This Row],[HE FINAL - PNR01]]-Tabela3[[#This Row],[HE INICIAL - PNR01]]</f>
        <v>7.5999999999999091</v>
      </c>
      <c r="N14" s="13">
        <f>Tabela3[[#This Row],[HE FINAL - PNR02]]-Tabela3[[#This Row],[HE INICIAL - PNR02]]</f>
        <v>9.5999999999999091</v>
      </c>
    </row>
    <row r="15" spans="1:14" x14ac:dyDescent="0.3">
      <c r="A15" s="2">
        <v>45992</v>
      </c>
      <c r="B15" s="5">
        <v>2908.8</v>
      </c>
      <c r="C15" s="5">
        <v>2920.7</v>
      </c>
      <c r="D15" s="5"/>
      <c r="E15" s="5"/>
      <c r="F15" s="5">
        <v>3360.6</v>
      </c>
      <c r="G15" s="5">
        <v>3372.5</v>
      </c>
      <c r="H15" s="5">
        <v>1768.6</v>
      </c>
      <c r="I15" s="5">
        <v>1780.4</v>
      </c>
      <c r="J15" s="13" t="s">
        <v>74</v>
      </c>
      <c r="K15" s="13">
        <f>Tabela3[[#This Row],[HE FINAL - BRITADOR.P]]-Tabela3[[#This Row],[HE INCIAL - BRITADOR.P]]</f>
        <v>11.899999999999636</v>
      </c>
      <c r="L15" s="13">
        <f>Tabela3[[#This Row],[HE FINAL - BRITADOR.S]]-Tabela3[[#This Row],[HE INICIAL - BRITADOR.S]]</f>
        <v>0</v>
      </c>
      <c r="M15" s="13">
        <f>Tabela3[[#This Row],[HE FINAL - PNR01]]-Tabela3[[#This Row],[HE INICIAL - PNR01]]</f>
        <v>11.900000000000091</v>
      </c>
      <c r="N15" s="13">
        <f>Tabela3[[#This Row],[HE FINAL - PNR02]]-Tabela3[[#This Row],[HE INICIAL - PNR02]]</f>
        <v>11.800000000000182</v>
      </c>
    </row>
    <row r="16" spans="1:14" x14ac:dyDescent="0.3">
      <c r="A16" s="2">
        <v>45993</v>
      </c>
      <c r="B16" s="5">
        <v>2929.2</v>
      </c>
      <c r="C16" s="5">
        <v>2934.8</v>
      </c>
      <c r="D16" s="5"/>
      <c r="E16" s="5"/>
      <c r="F16" s="5">
        <v>3381</v>
      </c>
      <c r="G16" s="5">
        <v>3387.3</v>
      </c>
      <c r="H16" s="5">
        <v>1785.6</v>
      </c>
      <c r="I16" s="5">
        <v>1791.2</v>
      </c>
      <c r="J16" s="13" t="s">
        <v>74</v>
      </c>
      <c r="K16" s="13">
        <f>Tabela3[[#This Row],[HE FINAL - BRITADOR.P]]-Tabela3[[#This Row],[HE INCIAL - BRITADOR.P]]</f>
        <v>5.6000000000003638</v>
      </c>
      <c r="L16" s="13">
        <f>Tabela3[[#This Row],[HE FINAL - BRITADOR.S]]-Tabela3[[#This Row],[HE INICIAL - BRITADOR.S]]</f>
        <v>0</v>
      </c>
      <c r="M16" s="13">
        <f>Tabela3[[#This Row],[HE FINAL - PNR01]]-Tabela3[[#This Row],[HE INICIAL - PNR01]]</f>
        <v>6.3000000000001819</v>
      </c>
      <c r="N16" s="13">
        <f>Tabela3[[#This Row],[HE FINAL - PNR02]]-Tabela3[[#This Row],[HE INICIAL - PNR02]]</f>
        <v>5.6000000000001364</v>
      </c>
    </row>
    <row r="17" spans="1:14" x14ac:dyDescent="0.3">
      <c r="A17" s="2">
        <v>45993</v>
      </c>
      <c r="B17" s="5">
        <v>2920.7</v>
      </c>
      <c r="C17" s="5">
        <v>2929.2</v>
      </c>
      <c r="D17" s="5"/>
      <c r="E17" s="5"/>
      <c r="F17" s="5">
        <v>3372.5</v>
      </c>
      <c r="G17" s="5">
        <v>3381</v>
      </c>
      <c r="H17" s="5">
        <v>1780.4</v>
      </c>
      <c r="I17" s="5">
        <v>1785.6</v>
      </c>
      <c r="J17" s="13" t="s">
        <v>73</v>
      </c>
      <c r="K17" s="13">
        <f>Tabela3[[#This Row],[HE FINAL - BRITADOR.P]]-Tabela3[[#This Row],[HE INCIAL - BRITADOR.P]]</f>
        <v>8.5</v>
      </c>
      <c r="L17" s="13">
        <f>Tabela3[[#This Row],[HE FINAL - BRITADOR.S]]-Tabela3[[#This Row],[HE INICIAL - BRITADOR.S]]</f>
        <v>0</v>
      </c>
      <c r="M17" s="13">
        <f>Tabela3[[#This Row],[HE FINAL - PNR01]]-Tabela3[[#This Row],[HE INICIAL - PNR01]]</f>
        <v>8.5</v>
      </c>
      <c r="N17" s="13">
        <f>Tabela3[[#This Row],[HE FINAL - PNR02]]-Tabela3[[#This Row],[HE INICIAL - PNR02]]</f>
        <v>5.1999999999998181</v>
      </c>
    </row>
    <row r="18" spans="1:14" x14ac:dyDescent="0.3">
      <c r="A18" s="2">
        <v>45994</v>
      </c>
      <c r="B18" s="5">
        <v>2947.2</v>
      </c>
      <c r="C18" s="5">
        <v>2957.8</v>
      </c>
      <c r="D18" s="5"/>
      <c r="E18" s="5"/>
      <c r="F18" s="5">
        <v>3399.8</v>
      </c>
      <c r="G18" s="5">
        <v>3411.2</v>
      </c>
      <c r="H18" s="5">
        <v>1803.6</v>
      </c>
      <c r="I18" s="5">
        <v>1815.1</v>
      </c>
      <c r="J18" s="13" t="s">
        <v>74</v>
      </c>
      <c r="K18" s="13">
        <f>Tabela3[[#This Row],[HE FINAL - BRITADOR.P]]-Tabela3[[#This Row],[HE INCIAL - BRITADOR.P]]</f>
        <v>10.600000000000364</v>
      </c>
      <c r="L18" s="13">
        <f>Tabela3[[#This Row],[HE FINAL - BRITADOR.S]]-Tabela3[[#This Row],[HE INICIAL - BRITADOR.S]]</f>
        <v>0</v>
      </c>
      <c r="M18" s="13">
        <f>Tabela3[[#This Row],[HE FINAL - PNR01]]-Tabela3[[#This Row],[HE INICIAL - PNR01]]</f>
        <v>11.399999999999636</v>
      </c>
      <c r="N18" s="13">
        <f>Tabela3[[#This Row],[HE FINAL - PNR02]]-Tabela3[[#This Row],[HE INICIAL - PNR02]]</f>
        <v>11.5</v>
      </c>
    </row>
    <row r="19" spans="1:14" x14ac:dyDescent="0.3">
      <c r="A19" s="2">
        <v>45994</v>
      </c>
      <c r="B19" s="5">
        <v>2934.8</v>
      </c>
      <c r="C19" s="5">
        <v>2947.1</v>
      </c>
      <c r="D19" s="5"/>
      <c r="E19" s="5"/>
      <c r="F19" s="5">
        <v>3387.3</v>
      </c>
      <c r="G19" s="5">
        <v>3399.6</v>
      </c>
      <c r="H19" s="5">
        <v>1791.2</v>
      </c>
      <c r="I19" s="5">
        <v>1803.4</v>
      </c>
      <c r="J19" s="13" t="s">
        <v>73</v>
      </c>
      <c r="K19" s="13">
        <f>Tabela3[[#This Row],[HE FINAL - BRITADOR.P]]-Tabela3[[#This Row],[HE INCIAL - BRITADOR.P]]</f>
        <v>12.299999999999727</v>
      </c>
      <c r="L19" s="13">
        <f>Tabela3[[#This Row],[HE FINAL - BRITADOR.S]]-Tabela3[[#This Row],[HE INICIAL - BRITADOR.S]]</f>
        <v>0</v>
      </c>
      <c r="M19" s="13">
        <f>Tabela3[[#This Row],[HE FINAL - PNR01]]-Tabela3[[#This Row],[HE INICIAL - PNR01]]</f>
        <v>12.299999999999727</v>
      </c>
      <c r="N19" s="13">
        <f>Tabela3[[#This Row],[HE FINAL - PNR02]]-Tabela3[[#This Row],[HE INICIAL - PNR02]]</f>
        <v>12.200000000000045</v>
      </c>
    </row>
    <row r="20" spans="1:14" x14ac:dyDescent="0.3">
      <c r="A20" s="2">
        <v>45995</v>
      </c>
      <c r="B20" s="5">
        <v>2957.8</v>
      </c>
      <c r="C20" s="5">
        <v>2968.1</v>
      </c>
      <c r="D20" s="5"/>
      <c r="E20" s="5"/>
      <c r="F20" s="5">
        <v>3411.2</v>
      </c>
      <c r="G20" s="5">
        <v>3422.6</v>
      </c>
      <c r="H20" s="5">
        <v>1815.1</v>
      </c>
      <c r="I20" s="5">
        <v>1826.4</v>
      </c>
      <c r="J20" s="13" t="s">
        <v>73</v>
      </c>
      <c r="K20" s="13">
        <f>Tabela3[[#This Row],[HE FINAL - BRITADOR.P]]-Tabela3[[#This Row],[HE INCIAL - BRITADOR.P]]</f>
        <v>10.299999999999727</v>
      </c>
      <c r="L20" s="13">
        <f>Tabela3[[#This Row],[HE FINAL - BRITADOR.S]]-Tabela3[[#This Row],[HE INICIAL - BRITADOR.S]]</f>
        <v>0</v>
      </c>
      <c r="M20" s="13">
        <f>Tabela3[[#This Row],[HE FINAL - PNR01]]-Tabela3[[#This Row],[HE INICIAL - PNR01]]</f>
        <v>11.400000000000091</v>
      </c>
      <c r="N20" s="13">
        <f>Tabela3[[#This Row],[HE FINAL - PNR02]]-Tabela3[[#This Row],[HE INICIAL - PNR02]]</f>
        <v>11.300000000000182</v>
      </c>
    </row>
    <row r="21" spans="1:14" x14ac:dyDescent="0.3">
      <c r="A21" s="2">
        <v>45995</v>
      </c>
      <c r="B21" s="5">
        <v>2968.7</v>
      </c>
      <c r="C21" s="5">
        <v>2980</v>
      </c>
      <c r="D21" s="5"/>
      <c r="E21" s="5"/>
      <c r="F21" s="5">
        <v>3422.8</v>
      </c>
      <c r="G21" s="5">
        <v>3434.6</v>
      </c>
      <c r="H21" s="5">
        <v>1826.8</v>
      </c>
      <c r="I21" s="5">
        <v>1838.4</v>
      </c>
      <c r="J21" s="13" t="s">
        <v>74</v>
      </c>
      <c r="K21" s="13">
        <f>Tabela3[[#This Row],[HE FINAL - BRITADOR.P]]-Tabela3[[#This Row],[HE INCIAL - BRITADOR.P]]</f>
        <v>11.300000000000182</v>
      </c>
      <c r="L21" s="13">
        <f>Tabela3[[#This Row],[HE FINAL - BRITADOR.S]]-Tabela3[[#This Row],[HE INICIAL - BRITADOR.S]]</f>
        <v>0</v>
      </c>
      <c r="M21" s="13">
        <f>Tabela3[[#This Row],[HE FINAL - PNR01]]-Tabela3[[#This Row],[HE INICIAL - PNR01]]</f>
        <v>11.799999999999727</v>
      </c>
      <c r="N21" s="13">
        <f>Tabela3[[#This Row],[HE FINAL - PNR02]]-Tabela3[[#This Row],[HE INICIAL - PNR02]]</f>
        <v>11.600000000000136</v>
      </c>
    </row>
    <row r="22" spans="1:14" x14ac:dyDescent="0.3">
      <c r="A22" s="2">
        <v>45996</v>
      </c>
      <c r="B22" s="5">
        <v>2980</v>
      </c>
      <c r="C22" s="5">
        <v>2992.3</v>
      </c>
      <c r="D22" s="5"/>
      <c r="E22" s="5"/>
      <c r="F22" s="5">
        <v>3434.6</v>
      </c>
      <c r="G22" s="5">
        <v>3446.9</v>
      </c>
      <c r="H22" s="5">
        <v>1838.4</v>
      </c>
      <c r="I22" s="5">
        <v>1850.1</v>
      </c>
      <c r="J22" s="13" t="s">
        <v>73</v>
      </c>
      <c r="K22" s="13">
        <f>Tabela3[[#This Row],[HE FINAL - BRITADOR.P]]-Tabela3[[#This Row],[HE INCIAL - BRITADOR.P]]</f>
        <v>12.300000000000182</v>
      </c>
      <c r="L22" s="13">
        <f>Tabela3[[#This Row],[HE FINAL - BRITADOR.S]]-Tabela3[[#This Row],[HE INICIAL - BRITADOR.S]]</f>
        <v>0</v>
      </c>
      <c r="M22" s="13">
        <f>Tabela3[[#This Row],[HE FINAL - PNR01]]-Tabela3[[#This Row],[HE INICIAL - PNR01]]</f>
        <v>12.300000000000182</v>
      </c>
      <c r="N22" s="13">
        <f>Tabela3[[#This Row],[HE FINAL - PNR02]]-Tabela3[[#This Row],[HE INICIAL - PNR02]]</f>
        <v>11.699999999999818</v>
      </c>
    </row>
    <row r="23" spans="1:14" x14ac:dyDescent="0.3">
      <c r="A23" s="2">
        <v>45996</v>
      </c>
      <c r="B23" s="5">
        <v>2992.3</v>
      </c>
      <c r="C23" s="5">
        <v>2996.5</v>
      </c>
      <c r="D23" s="5"/>
      <c r="E23" s="5"/>
      <c r="F23" s="5">
        <v>3446.9</v>
      </c>
      <c r="G23" s="5">
        <v>3451.2</v>
      </c>
      <c r="H23" s="5">
        <v>1850.1</v>
      </c>
      <c r="I23" s="5">
        <v>1854.6</v>
      </c>
      <c r="J23" s="13" t="s">
        <v>74</v>
      </c>
      <c r="K23" s="13">
        <f>Tabela3[[#This Row],[HE FINAL - BRITADOR.P]]-Tabela3[[#This Row],[HE INCIAL - BRITADOR.P]]</f>
        <v>4.1999999999998181</v>
      </c>
      <c r="L23" s="13">
        <f>Tabela3[[#This Row],[HE FINAL - BRITADOR.S]]-Tabela3[[#This Row],[HE INICIAL - BRITADOR.S]]</f>
        <v>0</v>
      </c>
      <c r="M23" s="13">
        <f>Tabela3[[#This Row],[HE FINAL - PNR01]]-Tabela3[[#This Row],[HE INICIAL - PNR01]]</f>
        <v>4.2999999999997272</v>
      </c>
      <c r="N23" s="13">
        <f>Tabela3[[#This Row],[HE FINAL - PNR02]]-Tabela3[[#This Row],[HE INICIAL - PNR02]]</f>
        <v>4.5</v>
      </c>
    </row>
    <row r="24" spans="1:14" x14ac:dyDescent="0.3">
      <c r="A24" s="2">
        <v>45997</v>
      </c>
      <c r="B24" s="5">
        <v>2996.6</v>
      </c>
      <c r="C24" s="5">
        <v>3006.3</v>
      </c>
      <c r="D24" s="5"/>
      <c r="E24" s="5"/>
      <c r="F24" s="5">
        <v>3451.4</v>
      </c>
      <c r="G24" s="5">
        <v>3461</v>
      </c>
      <c r="H24" s="5">
        <v>1858.5</v>
      </c>
      <c r="I24" s="5">
        <v>1868.2</v>
      </c>
      <c r="J24" s="13" t="s">
        <v>74</v>
      </c>
      <c r="K24" s="13">
        <f>Tabela3[[#This Row],[HE FINAL - BRITADOR.P]]-Tabela3[[#This Row],[HE INCIAL - BRITADOR.P]]</f>
        <v>9.7000000000002728</v>
      </c>
      <c r="L24" s="13">
        <f>Tabela3[[#This Row],[HE FINAL - BRITADOR.S]]-Tabela3[[#This Row],[HE INICIAL - BRITADOR.S]]</f>
        <v>0</v>
      </c>
      <c r="M24" s="13">
        <f>Tabela3[[#This Row],[HE FINAL - PNR01]]-Tabela3[[#This Row],[HE INICIAL - PNR01]]</f>
        <v>9.5999999999999091</v>
      </c>
      <c r="N24" s="13">
        <f>Tabela3[[#This Row],[HE FINAL - PNR02]]-Tabela3[[#This Row],[HE INICIAL - PNR02]]</f>
        <v>9.7000000000000455</v>
      </c>
    </row>
    <row r="25" spans="1:14" x14ac:dyDescent="0.3">
      <c r="A25" s="2">
        <v>45997</v>
      </c>
      <c r="B25" s="5">
        <v>2996.5</v>
      </c>
      <c r="C25" s="5">
        <v>2996.5</v>
      </c>
      <c r="D25" s="5"/>
      <c r="E25" s="5"/>
      <c r="F25" s="5">
        <v>3451.2</v>
      </c>
      <c r="G25" s="5">
        <v>3451.2</v>
      </c>
      <c r="H25" s="5">
        <v>1854.6</v>
      </c>
      <c r="I25" s="5">
        <v>1858.3</v>
      </c>
      <c r="J25" s="13" t="s">
        <v>73</v>
      </c>
      <c r="K25" s="13">
        <f>Tabela3[[#This Row],[HE FINAL - BRITADOR.P]]-Tabela3[[#This Row],[HE INCIAL - BRITADOR.P]]</f>
        <v>0</v>
      </c>
      <c r="L25" s="13">
        <f>Tabela3[[#This Row],[HE FINAL - BRITADOR.S]]-Tabela3[[#This Row],[HE INICIAL - BRITADOR.S]]</f>
        <v>0</v>
      </c>
      <c r="M25" s="13">
        <f>Tabela3[[#This Row],[HE FINAL - PNR01]]-Tabela3[[#This Row],[HE INICIAL - PNR01]]</f>
        <v>0</v>
      </c>
      <c r="N25" s="13">
        <f>Tabela3[[#This Row],[HE FINAL - PNR02]]-Tabela3[[#This Row],[HE INICIAL - PNR02]]</f>
        <v>3.7000000000000455</v>
      </c>
    </row>
    <row r="26" spans="1:14" x14ac:dyDescent="0.3">
      <c r="A26" s="2">
        <v>45998</v>
      </c>
      <c r="B26" s="5">
        <v>3018.1</v>
      </c>
      <c r="C26" s="5">
        <v>3028.6</v>
      </c>
      <c r="D26" s="5"/>
      <c r="E26" s="5"/>
      <c r="F26" s="5">
        <v>3472.8</v>
      </c>
      <c r="G26" s="5">
        <v>3483.6</v>
      </c>
      <c r="H26" s="5">
        <v>1880</v>
      </c>
      <c r="I26" s="5">
        <v>1890.7</v>
      </c>
      <c r="J26" s="13" t="s">
        <v>74</v>
      </c>
      <c r="K26" s="13">
        <f>Tabela3[[#This Row],[HE FINAL - BRITADOR.P]]-Tabela3[[#This Row],[HE INCIAL - BRITADOR.P]]</f>
        <v>10.5</v>
      </c>
      <c r="L26" s="13">
        <f>Tabela3[[#This Row],[HE FINAL - BRITADOR.S]]-Tabela3[[#This Row],[HE INICIAL - BRITADOR.S]]</f>
        <v>0</v>
      </c>
      <c r="M26" s="13">
        <f>Tabela3[[#This Row],[HE FINAL - PNR01]]-Tabela3[[#This Row],[HE INICIAL - PNR01]]</f>
        <v>10.799999999999727</v>
      </c>
      <c r="N26" s="13">
        <f>Tabela3[[#This Row],[HE FINAL - PNR02]]-Tabela3[[#This Row],[HE INICIAL - PNR02]]</f>
        <v>10.700000000000045</v>
      </c>
    </row>
    <row r="27" spans="1:14" x14ac:dyDescent="0.3">
      <c r="A27" s="2">
        <v>45998</v>
      </c>
      <c r="B27" s="5">
        <v>3006.3</v>
      </c>
      <c r="C27" s="5">
        <v>3018.1</v>
      </c>
      <c r="D27" s="5"/>
      <c r="E27" s="5"/>
      <c r="F27" s="5">
        <v>3461</v>
      </c>
      <c r="G27" s="5">
        <v>3472.8</v>
      </c>
      <c r="H27" s="5">
        <v>1862.2</v>
      </c>
      <c r="I27" s="5">
        <v>1880</v>
      </c>
      <c r="J27" s="13" t="s">
        <v>73</v>
      </c>
      <c r="K27" s="13">
        <f>Tabela3[[#This Row],[HE FINAL - BRITADOR.P]]-Tabela3[[#This Row],[HE INCIAL - BRITADOR.P]]</f>
        <v>11.799999999999727</v>
      </c>
      <c r="L27" s="13">
        <f>Tabela3[[#This Row],[HE FINAL - BRITADOR.S]]-Tabela3[[#This Row],[HE INICIAL - BRITADOR.S]]</f>
        <v>0</v>
      </c>
      <c r="M27" s="13">
        <f>Tabela3[[#This Row],[HE FINAL - PNR01]]-Tabela3[[#This Row],[HE INICIAL - PNR01]]</f>
        <v>11.800000000000182</v>
      </c>
      <c r="N27" s="13">
        <f>Tabela3[[#This Row],[HE FINAL - PNR02]]-Tabela3[[#This Row],[HE INICIAL - PNR02]]</f>
        <v>17.799999999999955</v>
      </c>
    </row>
    <row r="28" spans="1:14" x14ac:dyDescent="0.3">
      <c r="A28" s="2">
        <v>45999</v>
      </c>
      <c r="B28" s="5">
        <v>3039.6</v>
      </c>
      <c r="C28" s="5">
        <v>3049.3</v>
      </c>
      <c r="D28" s="5"/>
      <c r="E28" s="5"/>
      <c r="F28" s="5">
        <v>3495.6</v>
      </c>
      <c r="G28" s="5">
        <v>3503.4</v>
      </c>
      <c r="H28" s="5">
        <v>1902.6</v>
      </c>
      <c r="I28" s="5">
        <v>1910.4</v>
      </c>
      <c r="J28" s="13" t="s">
        <v>74</v>
      </c>
      <c r="K28" s="13">
        <f>Tabela3[[#This Row],[HE FINAL - BRITADOR.P]]-Tabela3[[#This Row],[HE INCIAL - BRITADOR.P]]</f>
        <v>9.7000000000002728</v>
      </c>
      <c r="L28" s="13">
        <f>Tabela3[[#This Row],[HE FINAL - BRITADOR.S]]-Tabela3[[#This Row],[HE INICIAL - BRITADOR.S]]</f>
        <v>0</v>
      </c>
      <c r="M28" s="13">
        <f>Tabela3[[#This Row],[HE FINAL - PNR01]]-Tabela3[[#This Row],[HE INICIAL - PNR01]]</f>
        <v>7.8000000000001819</v>
      </c>
      <c r="N28" s="13">
        <f>Tabela3[[#This Row],[HE FINAL - PNR02]]-Tabela3[[#This Row],[HE INICIAL - PNR02]]</f>
        <v>7.8000000000001819</v>
      </c>
    </row>
    <row r="29" spans="1:14" x14ac:dyDescent="0.3">
      <c r="A29" s="2">
        <v>45999</v>
      </c>
      <c r="B29" s="5">
        <v>3029</v>
      </c>
      <c r="C29" s="5">
        <v>3030.6</v>
      </c>
      <c r="D29" s="5"/>
      <c r="E29" s="5"/>
      <c r="F29" s="5">
        <v>3483.9</v>
      </c>
      <c r="G29" s="5">
        <v>3495.6</v>
      </c>
      <c r="H29" s="5">
        <v>1892</v>
      </c>
      <c r="I29" s="5">
        <v>1902.6</v>
      </c>
      <c r="J29" s="13" t="s">
        <v>73</v>
      </c>
      <c r="K29" s="13">
        <f>Tabela3[[#This Row],[HE FINAL - BRITADOR.P]]-Tabela3[[#This Row],[HE INCIAL - BRITADOR.P]]</f>
        <v>1.5999999999999091</v>
      </c>
      <c r="L29" s="13">
        <f>Tabela3[[#This Row],[HE FINAL - BRITADOR.S]]-Tabela3[[#This Row],[HE INICIAL - BRITADOR.S]]</f>
        <v>0</v>
      </c>
      <c r="M29" s="13">
        <f>Tabela3[[#This Row],[HE FINAL - PNR01]]-Tabela3[[#This Row],[HE INICIAL - PNR01]]</f>
        <v>11.699999999999818</v>
      </c>
      <c r="N29" s="13">
        <f>Tabela3[[#This Row],[HE FINAL - PNR02]]-Tabela3[[#This Row],[HE INICIAL - PNR02]]</f>
        <v>10.599999999999909</v>
      </c>
    </row>
    <row r="30" spans="1:14" x14ac:dyDescent="0.3">
      <c r="A30" s="2">
        <v>46000</v>
      </c>
      <c r="B30" s="5">
        <v>3058.6</v>
      </c>
      <c r="C30" s="5">
        <v>3068.3</v>
      </c>
      <c r="D30" s="5"/>
      <c r="E30" s="5"/>
      <c r="F30" s="5">
        <v>3512.2</v>
      </c>
      <c r="G30" s="5">
        <v>3523.2</v>
      </c>
      <c r="H30" s="5">
        <v>1919.1</v>
      </c>
      <c r="I30" s="5">
        <v>1930.2</v>
      </c>
      <c r="J30" s="13" t="s">
        <v>74</v>
      </c>
      <c r="K30" s="13">
        <f>Tabela3[[#This Row],[HE FINAL - BRITADOR.P]]-Tabela3[[#This Row],[HE INCIAL - BRITADOR.P]]</f>
        <v>9.7000000000002728</v>
      </c>
      <c r="L30" s="13">
        <f>Tabela3[[#This Row],[HE FINAL - BRITADOR.S]]-Tabela3[[#This Row],[HE INICIAL - BRITADOR.S]]</f>
        <v>0</v>
      </c>
      <c r="M30" s="13">
        <f>Tabela3[[#This Row],[HE FINAL - PNR01]]-Tabela3[[#This Row],[HE INICIAL - PNR01]]</f>
        <v>11</v>
      </c>
      <c r="N30" s="13">
        <f>Tabela3[[#This Row],[HE FINAL - PNR02]]-Tabela3[[#This Row],[HE INICIAL - PNR02]]</f>
        <v>11.100000000000136</v>
      </c>
    </row>
    <row r="31" spans="1:14" x14ac:dyDescent="0.3">
      <c r="A31" s="2">
        <v>46000</v>
      </c>
      <c r="B31" s="5">
        <v>3049.6</v>
      </c>
      <c r="C31" s="5">
        <v>3058.6</v>
      </c>
      <c r="D31" s="5"/>
      <c r="E31" s="5"/>
      <c r="F31" s="5">
        <v>3503.8</v>
      </c>
      <c r="G31" s="5">
        <v>3512.2</v>
      </c>
      <c r="H31" s="5">
        <v>1910.8</v>
      </c>
      <c r="I31" s="5">
        <v>1919.1</v>
      </c>
      <c r="J31" s="13" t="s">
        <v>73</v>
      </c>
      <c r="K31" s="13">
        <f>Tabela3[[#This Row],[HE FINAL - BRITADOR.P]]-Tabela3[[#This Row],[HE INCIAL - BRITADOR.P]]</f>
        <v>9</v>
      </c>
      <c r="L31" s="13">
        <f>Tabela3[[#This Row],[HE FINAL - BRITADOR.S]]-Tabela3[[#This Row],[HE INICIAL - BRITADOR.S]]</f>
        <v>0</v>
      </c>
      <c r="M31" s="13">
        <f>Tabela3[[#This Row],[HE FINAL - PNR01]]-Tabela3[[#This Row],[HE INICIAL - PNR01]]</f>
        <v>8.3999999999996362</v>
      </c>
      <c r="N31" s="13">
        <f>Tabela3[[#This Row],[HE FINAL - PNR02]]-Tabela3[[#This Row],[HE INICIAL - PNR02]]</f>
        <v>8.2999999999999545</v>
      </c>
    </row>
    <row r="32" spans="1:14" x14ac:dyDescent="0.3">
      <c r="A32" s="2">
        <v>46001</v>
      </c>
      <c r="B32" s="5">
        <v>3080</v>
      </c>
      <c r="C32" s="5">
        <v>3091.9</v>
      </c>
      <c r="D32" s="5"/>
      <c r="E32" s="5"/>
      <c r="F32" s="5">
        <v>3535</v>
      </c>
      <c r="G32" s="5">
        <v>3546.9</v>
      </c>
      <c r="H32" s="5">
        <v>1941.9</v>
      </c>
      <c r="I32" s="5">
        <v>1953.8</v>
      </c>
      <c r="J32" s="13" t="s">
        <v>74</v>
      </c>
      <c r="K32" s="13">
        <f>Tabela3[[#This Row],[HE FINAL - BRITADOR.P]]-Tabela3[[#This Row],[HE INCIAL - BRITADOR.P]]</f>
        <v>11.900000000000091</v>
      </c>
      <c r="L32" s="13">
        <f>Tabela3[[#This Row],[HE FINAL - BRITADOR.S]]-Tabela3[[#This Row],[HE INICIAL - BRITADOR.S]]</f>
        <v>0</v>
      </c>
      <c r="M32" s="13">
        <f>Tabela3[[#This Row],[HE FINAL - PNR01]]-Tabela3[[#This Row],[HE INICIAL - PNR01]]</f>
        <v>11.900000000000091</v>
      </c>
      <c r="N32" s="13">
        <f>Tabela3[[#This Row],[HE FINAL - PNR02]]-Tabela3[[#This Row],[HE INICIAL - PNR02]]</f>
        <v>11.899999999999864</v>
      </c>
    </row>
    <row r="33" spans="1:14" x14ac:dyDescent="0.3">
      <c r="A33" s="2">
        <v>46001</v>
      </c>
      <c r="B33" s="5">
        <v>3068.3</v>
      </c>
      <c r="C33" s="5">
        <v>3080</v>
      </c>
      <c r="D33" s="5"/>
      <c r="E33" s="5"/>
      <c r="F33" s="5">
        <v>3523.2</v>
      </c>
      <c r="G33" s="5">
        <v>3535</v>
      </c>
      <c r="H33" s="5">
        <v>1930.2</v>
      </c>
      <c r="I33" s="5">
        <v>1941.9</v>
      </c>
      <c r="J33" s="13" t="s">
        <v>73</v>
      </c>
      <c r="K33" s="13">
        <f>Tabela3[[#This Row],[HE FINAL - BRITADOR.P]]-Tabela3[[#This Row],[HE INCIAL - BRITADOR.P]]</f>
        <v>11.699999999999818</v>
      </c>
      <c r="L33" s="13">
        <f>Tabela3[[#This Row],[HE FINAL - BRITADOR.S]]-Tabela3[[#This Row],[HE INICIAL - BRITADOR.S]]</f>
        <v>0</v>
      </c>
      <c r="M33" s="13">
        <f>Tabela3[[#This Row],[HE FINAL - PNR01]]-Tabela3[[#This Row],[HE INICIAL - PNR01]]</f>
        <v>11.800000000000182</v>
      </c>
      <c r="N33" s="13">
        <f>Tabela3[[#This Row],[HE FINAL - PNR02]]-Tabela3[[#This Row],[HE INICIAL - PNR02]]</f>
        <v>11.700000000000045</v>
      </c>
    </row>
    <row r="34" spans="1:14" x14ac:dyDescent="0.3">
      <c r="A34" s="2">
        <v>46002</v>
      </c>
      <c r="B34" s="5">
        <v>3097.9</v>
      </c>
      <c r="C34" s="5">
        <v>3099.6</v>
      </c>
      <c r="D34" s="5"/>
      <c r="E34" s="5"/>
      <c r="F34" s="5">
        <v>3552.2</v>
      </c>
      <c r="G34" s="5">
        <v>3554.4</v>
      </c>
      <c r="H34" s="5">
        <v>1959.3</v>
      </c>
      <c r="I34" s="5">
        <v>1961.5</v>
      </c>
      <c r="J34" s="13" t="s">
        <v>74</v>
      </c>
      <c r="K34" s="13">
        <f>Tabela3[[#This Row],[HE FINAL - BRITADOR.P]]-Tabela3[[#This Row],[HE INCIAL - BRITADOR.P]]</f>
        <v>1.6999999999998181</v>
      </c>
      <c r="L34" s="13">
        <f>Tabela3[[#This Row],[HE FINAL - BRITADOR.S]]-Tabela3[[#This Row],[HE INICIAL - BRITADOR.S]]</f>
        <v>0</v>
      </c>
      <c r="M34" s="13">
        <f>Tabela3[[#This Row],[HE FINAL - PNR01]]-Tabela3[[#This Row],[HE INICIAL - PNR01]]</f>
        <v>2.2000000000002728</v>
      </c>
      <c r="N34" s="13">
        <f>Tabela3[[#This Row],[HE FINAL - PNR02]]-Tabela3[[#This Row],[HE INICIAL - PNR02]]</f>
        <v>2.2000000000000455</v>
      </c>
    </row>
    <row r="35" spans="1:14" x14ac:dyDescent="0.3">
      <c r="A35" s="2">
        <v>46002</v>
      </c>
      <c r="B35" s="5">
        <v>3092.3</v>
      </c>
      <c r="C35" s="5">
        <v>3097.4</v>
      </c>
      <c r="D35" s="5"/>
      <c r="E35" s="5"/>
      <c r="F35" s="5">
        <v>3547.2</v>
      </c>
      <c r="G35" s="5">
        <v>3552.2</v>
      </c>
      <c r="H35" s="5">
        <v>1954.2</v>
      </c>
      <c r="I35" s="5">
        <v>1959.3</v>
      </c>
      <c r="J35" s="13" t="s">
        <v>73</v>
      </c>
      <c r="K35" s="13">
        <f>Tabela3[[#This Row],[HE FINAL - BRITADOR.P]]-Tabela3[[#This Row],[HE INCIAL - BRITADOR.P]]</f>
        <v>5.0999999999999091</v>
      </c>
      <c r="L35" s="13">
        <f>Tabela3[[#This Row],[HE FINAL - BRITADOR.S]]-Tabela3[[#This Row],[HE INICIAL - BRITADOR.S]]</f>
        <v>0</v>
      </c>
      <c r="M35" s="13">
        <f>Tabela3[[#This Row],[HE FINAL - PNR01]]-Tabela3[[#This Row],[HE INICIAL - PNR01]]</f>
        <v>5</v>
      </c>
      <c r="N35" s="13">
        <f>Tabela3[[#This Row],[HE FINAL - PNR02]]-Tabela3[[#This Row],[HE INICIAL - PNR02]]</f>
        <v>5.0999999999999091</v>
      </c>
    </row>
    <row r="36" spans="1:14" x14ac:dyDescent="0.3">
      <c r="A36" s="2">
        <v>46003</v>
      </c>
      <c r="B36" s="5">
        <v>3099.6</v>
      </c>
      <c r="C36" s="5">
        <v>3110.8</v>
      </c>
      <c r="D36" s="5"/>
      <c r="E36" s="5"/>
      <c r="F36" s="5">
        <v>3554.4</v>
      </c>
      <c r="G36" s="5">
        <v>3565.4</v>
      </c>
      <c r="H36" s="5">
        <v>1961.5</v>
      </c>
      <c r="I36" s="5">
        <v>1972.5</v>
      </c>
      <c r="J36" s="13" t="s">
        <v>73</v>
      </c>
      <c r="K36" s="13">
        <f>Tabela3[[#This Row],[HE FINAL - BRITADOR.P]]-Tabela3[[#This Row],[HE INCIAL - BRITADOR.P]]</f>
        <v>11.200000000000273</v>
      </c>
      <c r="L36" s="13">
        <f>Tabela3[[#This Row],[HE FINAL - BRITADOR.S]]-Tabela3[[#This Row],[HE INICIAL - BRITADOR.S]]</f>
        <v>0</v>
      </c>
      <c r="M36" s="13">
        <f>Tabela3[[#This Row],[HE FINAL - PNR01]]-Tabela3[[#This Row],[HE INICIAL - PNR01]]</f>
        <v>11</v>
      </c>
      <c r="N36" s="13">
        <f>Tabela3[[#This Row],[HE FINAL - PNR02]]-Tabela3[[#This Row],[HE INICIAL - PNR02]]</f>
        <v>11</v>
      </c>
    </row>
    <row r="37" spans="1:14" x14ac:dyDescent="0.3">
      <c r="A37" s="2">
        <v>46003</v>
      </c>
      <c r="B37" s="5">
        <v>3110.8</v>
      </c>
      <c r="C37" s="5">
        <v>3121.2</v>
      </c>
      <c r="D37" s="5"/>
      <c r="E37" s="5"/>
      <c r="F37" s="5">
        <v>3565.4</v>
      </c>
      <c r="G37" s="5">
        <v>3576</v>
      </c>
      <c r="H37" s="5">
        <v>1972.5</v>
      </c>
      <c r="I37" s="5">
        <v>1983.2</v>
      </c>
      <c r="J37" s="13" t="s">
        <v>74</v>
      </c>
      <c r="K37" s="13">
        <f>Tabela3[[#This Row],[HE FINAL - BRITADOR.P]]-Tabela3[[#This Row],[HE INCIAL - BRITADOR.P]]</f>
        <v>10.399999999999636</v>
      </c>
      <c r="L37" s="13">
        <f>Tabela3[[#This Row],[HE FINAL - BRITADOR.S]]-Tabela3[[#This Row],[HE INICIAL - BRITADOR.S]]</f>
        <v>0</v>
      </c>
      <c r="M37" s="13">
        <f>Tabela3[[#This Row],[HE FINAL - PNR01]]-Tabela3[[#This Row],[HE INICIAL - PNR01]]</f>
        <v>10.599999999999909</v>
      </c>
      <c r="N37" s="13">
        <f>Tabela3[[#This Row],[HE FINAL - PNR02]]-Tabela3[[#This Row],[HE INICIAL - PNR02]]</f>
        <v>10.700000000000045</v>
      </c>
    </row>
    <row r="38" spans="1:14" x14ac:dyDescent="0.3">
      <c r="A38" s="2">
        <v>46004</v>
      </c>
      <c r="B38" s="5">
        <v>3132.9</v>
      </c>
      <c r="C38" s="5">
        <v>3144.2</v>
      </c>
      <c r="D38" s="5"/>
      <c r="E38" s="5"/>
      <c r="F38" s="5">
        <v>3587.3</v>
      </c>
      <c r="G38" s="5">
        <v>3598.4</v>
      </c>
      <c r="H38" s="5">
        <v>1994.5</v>
      </c>
      <c r="I38" s="5">
        <v>2005.8</v>
      </c>
      <c r="J38" s="13" t="s">
        <v>74</v>
      </c>
      <c r="K38" s="13">
        <f>Tabela3[[#This Row],[HE FINAL - BRITADOR.P]]-Tabela3[[#This Row],[HE INCIAL - BRITADOR.P]]</f>
        <v>11.299999999999727</v>
      </c>
      <c r="L38" s="13">
        <f>Tabela3[[#This Row],[HE FINAL - BRITADOR.S]]-Tabela3[[#This Row],[HE INICIAL - BRITADOR.S]]</f>
        <v>0</v>
      </c>
      <c r="M38" s="13">
        <f>Tabela3[[#This Row],[HE FINAL - PNR01]]-Tabela3[[#This Row],[HE INICIAL - PNR01]]</f>
        <v>11.099999999999909</v>
      </c>
      <c r="N38" s="13">
        <f>Tabela3[[#This Row],[HE FINAL - PNR02]]-Tabela3[[#This Row],[HE INICIAL - PNR02]]</f>
        <v>11.299999999999955</v>
      </c>
    </row>
    <row r="39" spans="1:14" x14ac:dyDescent="0.3">
      <c r="A39" s="2">
        <v>46004</v>
      </c>
      <c r="B39" s="5">
        <v>3121.2</v>
      </c>
      <c r="C39" s="5">
        <v>3132.9</v>
      </c>
      <c r="D39" s="5"/>
      <c r="E39" s="5"/>
      <c r="F39" s="5">
        <v>3576</v>
      </c>
      <c r="G39" s="5">
        <v>3587.3</v>
      </c>
      <c r="H39" s="5">
        <v>1983.2</v>
      </c>
      <c r="I39" s="5">
        <v>1994.5</v>
      </c>
      <c r="J39" s="13" t="s">
        <v>73</v>
      </c>
      <c r="K39" s="13">
        <f>Tabela3[[#This Row],[HE FINAL - BRITADOR.P]]-Tabela3[[#This Row],[HE INCIAL - BRITADOR.P]]</f>
        <v>11.700000000000273</v>
      </c>
      <c r="L39" s="13">
        <f>Tabela3[[#This Row],[HE FINAL - BRITADOR.S]]-Tabela3[[#This Row],[HE INICIAL - BRITADOR.S]]</f>
        <v>0</v>
      </c>
      <c r="M39" s="13">
        <f>Tabela3[[#This Row],[HE FINAL - PNR01]]-Tabela3[[#This Row],[HE INICIAL - PNR01]]</f>
        <v>11.300000000000182</v>
      </c>
      <c r="N39" s="13">
        <f>Tabela3[[#This Row],[HE FINAL - PNR02]]-Tabela3[[#This Row],[HE INICIAL - PNR02]]</f>
        <v>11.299999999999955</v>
      </c>
    </row>
    <row r="40" spans="1:14" x14ac:dyDescent="0.3">
      <c r="A40" s="2">
        <v>46005</v>
      </c>
      <c r="B40" s="5">
        <v>3151</v>
      </c>
      <c r="C40" s="5">
        <v>3160.8</v>
      </c>
      <c r="D40" s="5"/>
      <c r="E40" s="5"/>
      <c r="F40" s="5">
        <v>3605.7</v>
      </c>
      <c r="G40" s="5">
        <v>3615.2</v>
      </c>
      <c r="H40" s="5">
        <v>2013.3</v>
      </c>
      <c r="I40" s="5">
        <v>2022.6</v>
      </c>
      <c r="J40" s="13" t="s">
        <v>74</v>
      </c>
      <c r="K40" s="13">
        <f>Tabela3[[#This Row],[HE FINAL - BRITADOR.P]]-Tabela3[[#This Row],[HE INCIAL - BRITADOR.P]]</f>
        <v>9.8000000000001819</v>
      </c>
      <c r="L40" s="13">
        <f>Tabela3[[#This Row],[HE FINAL - BRITADOR.S]]-Tabela3[[#This Row],[HE INICIAL - BRITADOR.S]]</f>
        <v>0</v>
      </c>
      <c r="M40" s="13">
        <f>Tabela3[[#This Row],[HE FINAL - PNR01]]-Tabela3[[#This Row],[HE INICIAL - PNR01]]</f>
        <v>9.5</v>
      </c>
      <c r="N40" s="13">
        <f>Tabela3[[#This Row],[HE FINAL - PNR02]]-Tabela3[[#This Row],[HE INICIAL - PNR02]]</f>
        <v>9.2999999999999545</v>
      </c>
    </row>
    <row r="41" spans="1:14" x14ac:dyDescent="0.3">
      <c r="A41" s="2">
        <v>46005</v>
      </c>
      <c r="B41" s="5">
        <v>3144.2</v>
      </c>
      <c r="C41" s="5">
        <v>3151</v>
      </c>
      <c r="D41" s="5"/>
      <c r="E41" s="5"/>
      <c r="F41" s="5">
        <v>3598.4</v>
      </c>
      <c r="G41" s="5">
        <v>3605.7</v>
      </c>
      <c r="H41" s="5">
        <v>2005.8</v>
      </c>
      <c r="I41" s="5">
        <v>2013.3</v>
      </c>
      <c r="J41" s="13" t="s">
        <v>73</v>
      </c>
      <c r="K41" s="13">
        <f>Tabela3[[#This Row],[HE FINAL - BRITADOR.P]]-Tabela3[[#This Row],[HE INCIAL - BRITADOR.P]]</f>
        <v>6.8000000000001819</v>
      </c>
      <c r="L41" s="13">
        <f>Tabela3[[#This Row],[HE FINAL - BRITADOR.S]]-Tabela3[[#This Row],[HE INICIAL - BRITADOR.S]]</f>
        <v>0</v>
      </c>
      <c r="M41" s="13">
        <f>Tabela3[[#This Row],[HE FINAL - PNR01]]-Tabela3[[#This Row],[HE INICIAL - PNR01]]</f>
        <v>7.2999999999997272</v>
      </c>
      <c r="N41" s="13">
        <f>Tabela3[[#This Row],[HE FINAL - PNR02]]-Tabela3[[#This Row],[HE INICIAL - PNR02]]</f>
        <v>7.5</v>
      </c>
    </row>
    <row r="42" spans="1:14" x14ac:dyDescent="0.3">
      <c r="A42" s="2">
        <v>46006</v>
      </c>
      <c r="B42" s="5">
        <v>3160.8</v>
      </c>
      <c r="C42" s="5">
        <v>3172.9</v>
      </c>
      <c r="D42" s="5"/>
      <c r="E42" s="5"/>
      <c r="F42" s="5">
        <v>3615.2</v>
      </c>
      <c r="G42" s="5">
        <v>3626.7</v>
      </c>
      <c r="H42" s="5">
        <v>2022.6</v>
      </c>
      <c r="I42" s="5">
        <v>2034.4</v>
      </c>
      <c r="J42" s="13" t="s">
        <v>73</v>
      </c>
      <c r="K42" s="13">
        <f>Tabela3[[#This Row],[HE FINAL - BRITADOR.P]]-Tabela3[[#This Row],[HE INCIAL - BRITADOR.P]]</f>
        <v>12.099999999999909</v>
      </c>
      <c r="L42" s="13">
        <f>Tabela3[[#This Row],[HE FINAL - BRITADOR.S]]-Tabela3[[#This Row],[HE INICIAL - BRITADOR.S]]</f>
        <v>0</v>
      </c>
      <c r="M42" s="13">
        <f>Tabela3[[#This Row],[HE FINAL - PNR01]]-Tabela3[[#This Row],[HE INICIAL - PNR01]]</f>
        <v>11.5</v>
      </c>
      <c r="N42" s="13">
        <f>Tabela3[[#This Row],[HE FINAL - PNR02]]-Tabela3[[#This Row],[HE INICIAL - PNR02]]</f>
        <v>11.800000000000182</v>
      </c>
    </row>
    <row r="43" spans="1:14" x14ac:dyDescent="0.3">
      <c r="A43" s="2">
        <v>46006</v>
      </c>
      <c r="B43" s="5">
        <v>3172.9</v>
      </c>
      <c r="C43" s="5">
        <v>3183.4</v>
      </c>
      <c r="D43" s="5"/>
      <c r="E43" s="5"/>
      <c r="F43" s="5">
        <v>3626.7</v>
      </c>
      <c r="G43" s="5">
        <v>3635.9</v>
      </c>
      <c r="H43" s="5">
        <v>2034.4</v>
      </c>
      <c r="I43" s="5">
        <v>2045</v>
      </c>
      <c r="J43" s="13" t="s">
        <v>74</v>
      </c>
      <c r="K43" s="13">
        <f>Tabela3[[#This Row],[HE FINAL - BRITADOR.P]]-Tabela3[[#This Row],[HE INCIAL - BRITADOR.P]]</f>
        <v>10.5</v>
      </c>
      <c r="L43" s="13">
        <f>Tabela3[[#This Row],[HE FINAL - BRITADOR.S]]-Tabela3[[#This Row],[HE INICIAL - BRITADOR.S]]</f>
        <v>0</v>
      </c>
      <c r="M43" s="13">
        <f>Tabela3[[#This Row],[HE FINAL - PNR01]]-Tabela3[[#This Row],[HE INICIAL - PNR01]]</f>
        <v>9.2000000000002728</v>
      </c>
      <c r="N43" s="13">
        <f>Tabela3[[#This Row],[HE FINAL - PNR02]]-Tabela3[[#This Row],[HE INICIAL - PNR02]]</f>
        <v>10.599999999999909</v>
      </c>
    </row>
    <row r="44" spans="1:14" x14ac:dyDescent="0.3">
      <c r="A44" s="2">
        <v>46007</v>
      </c>
      <c r="B44" s="5">
        <v>3183.4</v>
      </c>
      <c r="C44" s="5">
        <v>3193.7</v>
      </c>
      <c r="D44" s="5"/>
      <c r="E44" s="5"/>
      <c r="F44" s="5">
        <v>3635.9</v>
      </c>
      <c r="G44" s="5">
        <v>3646.2</v>
      </c>
      <c r="H44" s="5">
        <v>2045</v>
      </c>
      <c r="I44" s="5">
        <v>2055.3000000000002</v>
      </c>
      <c r="J44" s="13" t="s">
        <v>73</v>
      </c>
      <c r="K44" s="13">
        <f>Tabela3[[#This Row],[HE FINAL - BRITADOR.P]]-Tabela3[[#This Row],[HE INCIAL - BRITADOR.P]]</f>
        <v>10.299999999999727</v>
      </c>
      <c r="L44" s="13">
        <f>Tabela3[[#This Row],[HE FINAL - BRITADOR.S]]-Tabela3[[#This Row],[HE INICIAL - BRITADOR.S]]</f>
        <v>0</v>
      </c>
      <c r="M44" s="13">
        <f>Tabela3[[#This Row],[HE FINAL - PNR01]]-Tabela3[[#This Row],[HE INICIAL - PNR01]]</f>
        <v>10.299999999999727</v>
      </c>
      <c r="N44" s="13">
        <f>Tabela3[[#This Row],[HE FINAL - PNR02]]-Tabela3[[#This Row],[HE INICIAL - PNR02]]</f>
        <v>10.300000000000182</v>
      </c>
    </row>
    <row r="45" spans="1:14" x14ac:dyDescent="0.3">
      <c r="A45" s="2">
        <v>46007</v>
      </c>
      <c r="B45" s="5">
        <v>3194</v>
      </c>
      <c r="C45" s="5">
        <v>3199.8</v>
      </c>
      <c r="D45" s="5"/>
      <c r="E45" s="5"/>
      <c r="F45" s="5">
        <v>3646.4</v>
      </c>
      <c r="G45" s="5">
        <v>3652.1</v>
      </c>
      <c r="H45" s="5">
        <v>2055.5</v>
      </c>
      <c r="I45" s="5">
        <v>2061.4</v>
      </c>
      <c r="J45" s="13" t="s">
        <v>74</v>
      </c>
      <c r="K45" s="13">
        <f>Tabela3[[#This Row],[HE FINAL - BRITADOR.P]]-Tabela3[[#This Row],[HE INCIAL - BRITADOR.P]]</f>
        <v>5.8000000000001819</v>
      </c>
      <c r="L45" s="13">
        <f>Tabela3[[#This Row],[HE FINAL - BRITADOR.S]]-Tabela3[[#This Row],[HE INICIAL - BRITADOR.S]]</f>
        <v>0</v>
      </c>
      <c r="M45" s="13">
        <f>Tabela3[[#This Row],[HE FINAL - PNR01]]-Tabela3[[#This Row],[HE INICIAL - PNR01]]</f>
        <v>5.6999999999998181</v>
      </c>
      <c r="N45" s="13">
        <f>Tabela3[[#This Row],[HE FINAL - PNR02]]-Tabela3[[#This Row],[HE INICIAL - PNR02]]</f>
        <v>5.9000000000000909</v>
      </c>
    </row>
    <row r="46" spans="1:14" x14ac:dyDescent="0.3">
      <c r="A46" s="2">
        <v>46008</v>
      </c>
      <c r="B46" s="5">
        <v>3210.4</v>
      </c>
      <c r="C46" s="5">
        <v>3222.6</v>
      </c>
      <c r="D46" s="5"/>
      <c r="E46" s="5"/>
      <c r="F46" s="5">
        <v>3662.4</v>
      </c>
      <c r="G46" s="5">
        <v>3673.9</v>
      </c>
      <c r="H46" s="5">
        <v>2072</v>
      </c>
      <c r="I46" s="5">
        <v>2082.6999999999998</v>
      </c>
      <c r="J46" s="13" t="s">
        <v>74</v>
      </c>
      <c r="K46" s="13">
        <f>Tabela3[[#This Row],[HE FINAL - BRITADOR.P]]-Tabela3[[#This Row],[HE INCIAL - BRITADOR.P]]</f>
        <v>12.199999999999818</v>
      </c>
      <c r="L46" s="13">
        <f>Tabela3[[#This Row],[HE FINAL - BRITADOR.S]]-Tabela3[[#This Row],[HE INICIAL - BRITADOR.S]]</f>
        <v>0</v>
      </c>
      <c r="M46" s="13">
        <f>Tabela3[[#This Row],[HE FINAL - PNR01]]-Tabela3[[#This Row],[HE INICIAL - PNR01]]</f>
        <v>11.5</v>
      </c>
      <c r="N46" s="13">
        <f>Tabela3[[#This Row],[HE FINAL - PNR02]]-Tabela3[[#This Row],[HE INICIAL - PNR02]]</f>
        <v>10.699999999999818</v>
      </c>
    </row>
    <row r="47" spans="1:14" x14ac:dyDescent="0.3">
      <c r="A47" s="2">
        <v>46008</v>
      </c>
      <c r="B47" s="5">
        <v>3200.2</v>
      </c>
      <c r="C47" s="5">
        <v>3210.4</v>
      </c>
      <c r="D47" s="5"/>
      <c r="E47" s="5"/>
      <c r="F47" s="5">
        <v>3652.4</v>
      </c>
      <c r="G47" s="5">
        <v>3662.4</v>
      </c>
      <c r="H47" s="5">
        <v>2061.6</v>
      </c>
      <c r="I47" s="5">
        <v>2072</v>
      </c>
      <c r="J47" s="13" t="s">
        <v>73</v>
      </c>
      <c r="K47" s="13">
        <f>Tabela3[[#This Row],[HE FINAL - BRITADOR.P]]-Tabela3[[#This Row],[HE INCIAL - BRITADOR.P]]</f>
        <v>10.200000000000273</v>
      </c>
      <c r="L47" s="13">
        <f>Tabela3[[#This Row],[HE FINAL - BRITADOR.S]]-Tabela3[[#This Row],[HE INICIAL - BRITADOR.S]]</f>
        <v>0</v>
      </c>
      <c r="M47" s="13">
        <f>Tabela3[[#This Row],[HE FINAL - PNR01]]-Tabela3[[#This Row],[HE INICIAL - PNR01]]</f>
        <v>10</v>
      </c>
      <c r="N47" s="13">
        <f>Tabela3[[#This Row],[HE FINAL - PNR02]]-Tabela3[[#This Row],[HE INICIAL - PNR02]]</f>
        <v>10.400000000000091</v>
      </c>
    </row>
    <row r="48" spans="1:14" x14ac:dyDescent="0.3">
      <c r="A48" s="2">
        <v>46009</v>
      </c>
      <c r="B48" s="5">
        <v>3223.4</v>
      </c>
      <c r="C48" s="5">
        <v>3231.6</v>
      </c>
      <c r="D48" s="5"/>
      <c r="E48" s="5"/>
      <c r="F48" s="5">
        <v>3674</v>
      </c>
      <c r="G48" s="5">
        <v>3682.2</v>
      </c>
      <c r="H48" s="5">
        <v>2083.4</v>
      </c>
      <c r="I48" s="5">
        <v>2091.6999999999998</v>
      </c>
      <c r="J48" s="13" t="s">
        <v>73</v>
      </c>
      <c r="K48" s="13">
        <f>Tabela3[[#This Row],[HE FINAL - BRITADOR.P]]-Tabela3[[#This Row],[HE INCIAL - BRITADOR.P]]</f>
        <v>8.1999999999998181</v>
      </c>
      <c r="L48" s="13">
        <f>Tabela3[[#This Row],[HE FINAL - BRITADOR.S]]-Tabela3[[#This Row],[HE INICIAL - BRITADOR.S]]</f>
        <v>0</v>
      </c>
      <c r="M48" s="13">
        <f>Tabela3[[#This Row],[HE FINAL - PNR01]]-Tabela3[[#This Row],[HE INICIAL - PNR01]]</f>
        <v>8.1999999999998181</v>
      </c>
      <c r="N48" s="13">
        <f>Tabela3[[#This Row],[HE FINAL - PNR02]]-Tabela3[[#This Row],[HE INICIAL - PNR02]]</f>
        <v>8.2999999999997272</v>
      </c>
    </row>
    <row r="49" spans="1:14" x14ac:dyDescent="0.3">
      <c r="A49" s="2">
        <v>46009</v>
      </c>
      <c r="B49" s="5">
        <v>3231.6</v>
      </c>
      <c r="C49" s="5">
        <v>3244.3</v>
      </c>
      <c r="D49" s="5"/>
      <c r="E49" s="5"/>
      <c r="F49" s="5">
        <v>3682.2</v>
      </c>
      <c r="G49" s="5">
        <v>3694.9</v>
      </c>
      <c r="H49" s="5">
        <v>2091.6999999999998</v>
      </c>
      <c r="I49" s="5">
        <v>2103.1</v>
      </c>
      <c r="J49" s="13" t="s">
        <v>74</v>
      </c>
      <c r="K49" s="13">
        <f>Tabela3[[#This Row],[HE FINAL - BRITADOR.P]]-Tabela3[[#This Row],[HE INCIAL - BRITADOR.P]]</f>
        <v>12.700000000000273</v>
      </c>
      <c r="L49" s="13">
        <f>Tabela3[[#This Row],[HE FINAL - BRITADOR.S]]-Tabela3[[#This Row],[HE INICIAL - BRITADOR.S]]</f>
        <v>0</v>
      </c>
      <c r="M49" s="13">
        <f>Tabela3[[#This Row],[HE FINAL - PNR01]]-Tabela3[[#This Row],[HE INICIAL - PNR01]]</f>
        <v>12.700000000000273</v>
      </c>
      <c r="N49" s="13">
        <f>Tabela3[[#This Row],[HE FINAL - PNR02]]-Tabela3[[#This Row],[HE INICIAL - PNR02]]</f>
        <v>11.400000000000091</v>
      </c>
    </row>
    <row r="50" spans="1:14" x14ac:dyDescent="0.3">
      <c r="A50" s="2">
        <v>46010</v>
      </c>
      <c r="B50" s="5">
        <v>3251.8</v>
      </c>
      <c r="C50" s="5">
        <v>3263.5</v>
      </c>
      <c r="D50" s="5"/>
      <c r="E50" s="5"/>
      <c r="F50" s="5">
        <v>3702.4</v>
      </c>
      <c r="G50" s="5">
        <v>3713.8</v>
      </c>
      <c r="H50" s="5">
        <v>2110.9</v>
      </c>
      <c r="I50" s="5">
        <v>2122.5</v>
      </c>
      <c r="J50" s="13" t="s">
        <v>74</v>
      </c>
      <c r="K50" s="13">
        <f>Tabela3[[#This Row],[HE FINAL - BRITADOR.P]]-Tabela3[[#This Row],[HE INCIAL - BRITADOR.P]]</f>
        <v>11.699999999999818</v>
      </c>
      <c r="L50" s="13">
        <f>Tabela3[[#This Row],[HE FINAL - BRITADOR.S]]-Tabela3[[#This Row],[HE INICIAL - BRITADOR.S]]</f>
        <v>0</v>
      </c>
      <c r="M50" s="13">
        <f>Tabela3[[#This Row],[HE FINAL - PNR01]]-Tabela3[[#This Row],[HE INICIAL - PNR01]]</f>
        <v>11.400000000000091</v>
      </c>
      <c r="N50" s="13">
        <f>Tabela3[[#This Row],[HE FINAL - PNR02]]-Tabela3[[#This Row],[HE INICIAL - PNR02]]</f>
        <v>11.599999999999909</v>
      </c>
    </row>
    <row r="51" spans="1:14" x14ac:dyDescent="0.3">
      <c r="A51" s="2">
        <v>46011</v>
      </c>
      <c r="B51" s="5">
        <v>3273.6</v>
      </c>
      <c r="C51" s="5">
        <v>3280.2</v>
      </c>
      <c r="D51" s="5"/>
      <c r="E51" s="5"/>
      <c r="F51" s="5">
        <v>3724.1</v>
      </c>
      <c r="G51" s="5">
        <v>3730.3</v>
      </c>
      <c r="H51" s="5">
        <v>2132.8000000000002</v>
      </c>
      <c r="I51" s="5">
        <v>2138.8000000000002</v>
      </c>
      <c r="J51" s="13" t="s">
        <v>74</v>
      </c>
      <c r="K51" s="13">
        <f>Tabela3[[#This Row],[HE FINAL - BRITADOR.P]]-Tabela3[[#This Row],[HE INCIAL - BRITADOR.P]]</f>
        <v>6.5999999999999091</v>
      </c>
      <c r="L51" s="13">
        <f>Tabela3[[#This Row],[HE FINAL - BRITADOR.S]]-Tabela3[[#This Row],[HE INICIAL - BRITADOR.S]]</f>
        <v>0</v>
      </c>
      <c r="M51" s="13">
        <f>Tabela3[[#This Row],[HE FINAL - PNR01]]-Tabela3[[#This Row],[HE INICIAL - PNR01]]</f>
        <v>6.2000000000002728</v>
      </c>
      <c r="N51" s="13">
        <f>Tabela3[[#This Row],[HE FINAL - PNR02]]-Tabela3[[#This Row],[HE INICIAL - PNR02]]</f>
        <v>6</v>
      </c>
    </row>
    <row r="52" spans="1:14" x14ac:dyDescent="0.3">
      <c r="A52" s="2">
        <v>46012</v>
      </c>
      <c r="B52" s="5">
        <v>3280.2</v>
      </c>
      <c r="C52" s="5">
        <v>3292.1</v>
      </c>
      <c r="D52" s="5"/>
      <c r="E52" s="5"/>
      <c r="F52" s="5">
        <v>3730.3</v>
      </c>
      <c r="G52" s="5">
        <v>3741.4</v>
      </c>
      <c r="H52" s="5">
        <v>2138.8000000000002</v>
      </c>
      <c r="I52" s="5">
        <v>2151.1999999999998</v>
      </c>
      <c r="J52" s="13" t="s">
        <v>73</v>
      </c>
      <c r="K52" s="13">
        <f>Tabela3[[#This Row],[HE FINAL - BRITADOR.P]]-Tabela3[[#This Row],[HE INCIAL - BRITADOR.P]]</f>
        <v>11.900000000000091</v>
      </c>
      <c r="L52" s="13">
        <f>Tabela3[[#This Row],[HE FINAL - BRITADOR.S]]-Tabela3[[#This Row],[HE INICIAL - BRITADOR.S]]</f>
        <v>0</v>
      </c>
      <c r="M52" s="13">
        <f>Tabela3[[#This Row],[HE FINAL - PNR01]]-Tabela3[[#This Row],[HE INICIAL - PNR01]]</f>
        <v>11.099999999999909</v>
      </c>
      <c r="N52" s="13">
        <f>Tabela3[[#This Row],[HE FINAL - PNR02]]-Tabela3[[#This Row],[HE INICIAL - PNR02]]</f>
        <v>12.399999999999636</v>
      </c>
    </row>
    <row r="53" spans="1:14" x14ac:dyDescent="0.3">
      <c r="A53" s="2">
        <v>46012</v>
      </c>
      <c r="B53" s="5">
        <v>3292.1</v>
      </c>
      <c r="C53" s="5">
        <v>3303</v>
      </c>
      <c r="D53" s="5"/>
      <c r="E53" s="5"/>
      <c r="F53" s="5">
        <v>3741.4</v>
      </c>
      <c r="G53" s="5">
        <v>3752.2</v>
      </c>
      <c r="H53" s="5">
        <v>2151.1999999999998</v>
      </c>
      <c r="I53" s="5">
        <v>2162</v>
      </c>
      <c r="J53" s="13" t="s">
        <v>74</v>
      </c>
      <c r="K53" s="13">
        <f>Tabela3[[#This Row],[HE FINAL - BRITADOR.P]]-Tabela3[[#This Row],[HE INCIAL - BRITADOR.P]]</f>
        <v>10.900000000000091</v>
      </c>
      <c r="L53" s="13">
        <f>Tabela3[[#This Row],[HE FINAL - BRITADOR.S]]-Tabela3[[#This Row],[HE INICIAL - BRITADOR.S]]</f>
        <v>0</v>
      </c>
      <c r="M53" s="13">
        <f>Tabela3[[#This Row],[HE FINAL - PNR01]]-Tabela3[[#This Row],[HE INICIAL - PNR01]]</f>
        <v>10.799999999999727</v>
      </c>
      <c r="N53" s="13">
        <f>Tabela3[[#This Row],[HE FINAL - PNR02]]-Tabela3[[#This Row],[HE INICIAL - PNR02]]</f>
        <v>10.800000000000182</v>
      </c>
    </row>
    <row r="54" spans="1:14" x14ac:dyDescent="0.3">
      <c r="A54" s="2">
        <v>46010</v>
      </c>
      <c r="B54" s="5">
        <v>3244.3</v>
      </c>
      <c r="C54" s="5">
        <v>3251.8</v>
      </c>
      <c r="D54" s="5"/>
      <c r="E54" s="5"/>
      <c r="F54" s="5">
        <v>3694.9</v>
      </c>
      <c r="G54" s="5">
        <v>3702.4</v>
      </c>
      <c r="H54" s="5">
        <v>2103.1</v>
      </c>
      <c r="I54" s="5">
        <v>2110.9</v>
      </c>
      <c r="J54" s="13" t="s">
        <v>73</v>
      </c>
      <c r="K54" s="13">
        <f>Tabela3[[#This Row],[HE FINAL - BRITADOR.P]]-Tabela3[[#This Row],[HE INCIAL - BRITADOR.P]]</f>
        <v>7.5</v>
      </c>
      <c r="L54" s="13">
        <f>Tabela3[[#This Row],[HE FINAL - BRITADOR.S]]-Tabela3[[#This Row],[HE INICIAL - BRITADOR.S]]</f>
        <v>0</v>
      </c>
      <c r="M54" s="13">
        <f>Tabela3[[#This Row],[HE FINAL - PNR01]]-Tabela3[[#This Row],[HE INICIAL - PNR01]]</f>
        <v>7.5</v>
      </c>
      <c r="N54" s="13">
        <f>Tabela3[[#This Row],[HE FINAL - PNR02]]-Tabela3[[#This Row],[HE INICIAL - PNR02]]</f>
        <v>7.8000000000001819</v>
      </c>
    </row>
  </sheetData>
  <dataValidations disablePrompts="1" count="1">
    <dataValidation type="list" allowBlank="1" showInputMessage="1" showErrorMessage="1" sqref="J55:J1048576 J2:J54" xr:uid="{9312D91E-7441-4FC4-A104-5C23E6B19F49}">
      <formula1>"1° Turno, 2° Turno"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5D78-A2C1-476F-AAD4-8549EDD8EF3D}">
  <dimension ref="B1:K450"/>
  <sheetViews>
    <sheetView showGridLines="0" topLeftCell="B1" workbookViewId="0">
      <selection activeCell="K17" sqref="K17"/>
    </sheetView>
  </sheetViews>
  <sheetFormatPr defaultColWidth="8.88671875" defaultRowHeight="14.4" x14ac:dyDescent="0.3"/>
  <cols>
    <col min="1" max="1" width="2.109375" style="3" customWidth="1"/>
    <col min="2" max="2" width="13.6640625" style="2" customWidth="1"/>
    <col min="3" max="3" width="14.109375" style="7" bestFit="1" customWidth="1"/>
    <col min="4" max="4" width="18.88671875" style="3" bestFit="1" customWidth="1"/>
    <col min="5" max="5" width="7.44140625" style="3" customWidth="1"/>
    <col min="6" max="6" width="23" style="3" bestFit="1" customWidth="1"/>
    <col min="7" max="7" width="17.33203125" style="3" customWidth="1"/>
    <col min="8" max="8" width="63" style="3" bestFit="1" customWidth="1"/>
    <col min="9" max="9" width="14.109375" style="7" customWidth="1"/>
    <col min="10" max="10" width="13.33203125" style="7" bestFit="1" customWidth="1"/>
    <col min="11" max="11" width="14.33203125" style="3" bestFit="1" customWidth="1"/>
    <col min="12" max="16384" width="8.88671875" style="3"/>
  </cols>
  <sheetData>
    <row r="1" spans="2:11" ht="28.95" customHeight="1" x14ac:dyDescent="0.3"/>
    <row r="2" spans="2:11" s="10" customFormat="1" ht="30" customHeight="1" x14ac:dyDescent="0.3">
      <c r="B2" s="8" t="s">
        <v>9</v>
      </c>
      <c r="C2" s="11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1" t="s">
        <v>16</v>
      </c>
      <c r="J2" s="11" t="s">
        <v>17</v>
      </c>
      <c r="K2" s="10" t="s">
        <v>18</v>
      </c>
    </row>
    <row r="3" spans="2:11" hidden="1" x14ac:dyDescent="0.3">
      <c r="B3" s="2">
        <v>45962</v>
      </c>
      <c r="C3" s="7">
        <v>0.34027777777777779</v>
      </c>
      <c r="D3" s="3" t="s">
        <v>19</v>
      </c>
      <c r="E3" s="3">
        <v>1</v>
      </c>
      <c r="F3" s="3" t="s">
        <v>20</v>
      </c>
      <c r="G3" s="3" t="s">
        <v>21</v>
      </c>
      <c r="H3" s="3" t="s">
        <v>22</v>
      </c>
      <c r="I3" s="2">
        <v>45962</v>
      </c>
      <c r="J3" s="7">
        <v>0.35555555555555557</v>
      </c>
      <c r="K3" s="12">
        <f>IFERROR(IF(FManutencao[[#This Row],[Hora Fim]]="","",(FManutencao[[#This Row],[Data Fim]]+FManutencao[[#This Row],[Hora Fim]])-(FManutencao[[#This Row],[Data Início]]+FManutencao[[#This Row],[Hora Início]])),"Data Fim errada")</f>
        <v>1.5277777776645962E-2</v>
      </c>
    </row>
    <row r="4" spans="2:11" hidden="1" x14ac:dyDescent="0.3">
      <c r="B4" s="2">
        <v>45962</v>
      </c>
      <c r="C4" s="7">
        <v>0.43958333333333333</v>
      </c>
      <c r="D4" s="3" t="s">
        <v>19</v>
      </c>
      <c r="E4" s="3">
        <v>1</v>
      </c>
      <c r="F4" s="3" t="s">
        <v>20</v>
      </c>
      <c r="G4" s="3" t="s">
        <v>21</v>
      </c>
      <c r="H4" s="3" t="s">
        <v>23</v>
      </c>
      <c r="I4" s="2">
        <v>45962</v>
      </c>
      <c r="J4" s="7">
        <v>0.44305555555555554</v>
      </c>
      <c r="K4" s="12">
        <f>IFERROR(IF(FManutencao[[#This Row],[Hora Fim]]="","",(FManutencao[[#This Row],[Data Fim]]+FManutencao[[#This Row],[Hora Fim]])-(FManutencao[[#This Row],[Data Início]]+FManutencao[[#This Row],[Hora Início]])),"Data Fim errada")</f>
        <v>3.4722222262644209E-3</v>
      </c>
    </row>
    <row r="5" spans="2:11" hidden="1" x14ac:dyDescent="0.3">
      <c r="B5" s="2">
        <v>45962</v>
      </c>
      <c r="C5" s="7">
        <v>0.76736111111111116</v>
      </c>
      <c r="D5" s="3" t="s">
        <v>19</v>
      </c>
      <c r="E5" s="3">
        <v>1</v>
      </c>
      <c r="F5" s="3" t="s">
        <v>24</v>
      </c>
      <c r="G5" s="3" t="s">
        <v>21</v>
      </c>
      <c r="H5" s="3" t="s">
        <v>25</v>
      </c>
      <c r="I5" s="2">
        <v>45962</v>
      </c>
      <c r="J5" s="7">
        <v>0.79166666666666663</v>
      </c>
      <c r="K5" s="12">
        <f>IFERROR(IF(FManutencao[[#This Row],[Hora Fim]]="","",(FManutencao[[#This Row],[Data Fim]]+FManutencao[[#This Row],[Hora Fim]])-(FManutencao[[#This Row],[Data Início]]+FManutencao[[#This Row],[Hora Início]])),"Data Fim errada")</f>
        <v>2.4305555554747116E-2</v>
      </c>
    </row>
    <row r="6" spans="2:11" hidden="1" x14ac:dyDescent="0.3">
      <c r="B6" s="2">
        <v>45962</v>
      </c>
      <c r="C6" s="7">
        <v>0.34027777777777779</v>
      </c>
      <c r="D6" s="3" t="s">
        <v>26</v>
      </c>
      <c r="E6" s="3">
        <v>1</v>
      </c>
      <c r="F6" s="3" t="s">
        <v>20</v>
      </c>
      <c r="G6" s="3" t="s">
        <v>21</v>
      </c>
      <c r="H6" s="3" t="s">
        <v>22</v>
      </c>
      <c r="I6" s="2">
        <v>45962</v>
      </c>
      <c r="J6" s="7">
        <v>0.35555555555555557</v>
      </c>
      <c r="K6" s="12">
        <f>IFERROR(IF(FManutencao[[#This Row],[Hora Fim]]="","",(FManutencao[[#This Row],[Data Fim]]+FManutencao[[#This Row],[Hora Fim]])-(FManutencao[[#This Row],[Data Início]]+FManutencao[[#This Row],[Hora Início]])),"Data Fim errada")</f>
        <v>1.5277777776645962E-2</v>
      </c>
    </row>
    <row r="7" spans="2:11" hidden="1" x14ac:dyDescent="0.3">
      <c r="B7" s="2">
        <v>45962</v>
      </c>
      <c r="C7" s="7">
        <v>0.43958333333333333</v>
      </c>
      <c r="D7" s="3" t="s">
        <v>26</v>
      </c>
      <c r="E7" s="3">
        <v>1</v>
      </c>
      <c r="F7" s="3" t="s">
        <v>20</v>
      </c>
      <c r="G7" s="3" t="s">
        <v>21</v>
      </c>
      <c r="H7" s="3" t="s">
        <v>23</v>
      </c>
      <c r="I7" s="2">
        <v>45962</v>
      </c>
      <c r="J7" s="7">
        <v>0.44305555555555554</v>
      </c>
      <c r="K7" s="12">
        <f>IFERROR(IF(FManutencao[[#This Row],[Hora Fim]]="","",(FManutencao[[#This Row],[Data Fim]]+FManutencao[[#This Row],[Hora Fim]])-(FManutencao[[#This Row],[Data Início]]+FManutencao[[#This Row],[Hora Início]])),"Data Fim errada")</f>
        <v>3.4722222262644209E-3</v>
      </c>
    </row>
    <row r="8" spans="2:11" hidden="1" x14ac:dyDescent="0.3">
      <c r="B8" s="2">
        <v>45962</v>
      </c>
      <c r="C8" s="7">
        <v>0.76736111111111116</v>
      </c>
      <c r="D8" s="3" t="s">
        <v>26</v>
      </c>
      <c r="E8" s="3">
        <v>1</v>
      </c>
      <c r="F8" s="3" t="s">
        <v>24</v>
      </c>
      <c r="G8" s="3" t="s">
        <v>21</v>
      </c>
      <c r="H8" s="3" t="s">
        <v>25</v>
      </c>
      <c r="I8" s="2">
        <v>45962</v>
      </c>
      <c r="J8" s="7">
        <v>0.79166666666666663</v>
      </c>
      <c r="K8" s="12">
        <f>IFERROR(IF(FManutencao[[#This Row],[Hora Fim]]="","",(FManutencao[[#This Row],[Data Fim]]+FManutencao[[#This Row],[Hora Fim]])-(FManutencao[[#This Row],[Data Início]]+FManutencao[[#This Row],[Hora Início]])),"Data Fim errada")</f>
        <v>2.4305555554747116E-2</v>
      </c>
    </row>
    <row r="9" spans="2:11" hidden="1" x14ac:dyDescent="0.3">
      <c r="B9" s="2">
        <v>45962</v>
      </c>
      <c r="C9" s="7">
        <v>0.34027777777777779</v>
      </c>
      <c r="D9" s="3" t="s">
        <v>27</v>
      </c>
      <c r="E9" s="3">
        <v>1</v>
      </c>
      <c r="F9" s="3" t="s">
        <v>20</v>
      </c>
      <c r="G9" s="3" t="s">
        <v>21</v>
      </c>
      <c r="H9" s="3" t="s">
        <v>22</v>
      </c>
      <c r="I9" s="2">
        <v>45962</v>
      </c>
      <c r="J9" s="7">
        <v>0.35555555555555557</v>
      </c>
      <c r="K9" s="12">
        <f>IFERROR(IF(FManutencao[[#This Row],[Hora Fim]]="","",(FManutencao[[#This Row],[Data Fim]]+FManutencao[[#This Row],[Hora Fim]])-(FManutencao[[#This Row],[Data Início]]+FManutencao[[#This Row],[Hora Início]])),"Data Fim errada")</f>
        <v>1.5277777776645962E-2</v>
      </c>
    </row>
    <row r="10" spans="2:11" hidden="1" x14ac:dyDescent="0.3">
      <c r="B10" s="2">
        <v>45962</v>
      </c>
      <c r="C10" s="7">
        <v>0.43958333333333333</v>
      </c>
      <c r="D10" s="3" t="s">
        <v>27</v>
      </c>
      <c r="E10" s="3">
        <v>1</v>
      </c>
      <c r="F10" s="3" t="s">
        <v>20</v>
      </c>
      <c r="G10" s="3" t="s">
        <v>21</v>
      </c>
      <c r="H10" s="3" t="s">
        <v>23</v>
      </c>
      <c r="I10" s="2">
        <v>45962</v>
      </c>
      <c r="J10" s="7">
        <v>0.44305555555555554</v>
      </c>
      <c r="K10" s="12">
        <f>IFERROR(IF(FManutencao[[#This Row],[Hora Fim]]="","",(FManutencao[[#This Row],[Data Fim]]+FManutencao[[#This Row],[Hora Fim]])-(FManutencao[[#This Row],[Data Início]]+FManutencao[[#This Row],[Hora Início]])),"Data Fim errada")</f>
        <v>3.4722222262644209E-3</v>
      </c>
    </row>
    <row r="11" spans="2:11" hidden="1" x14ac:dyDescent="0.3">
      <c r="B11" s="2">
        <v>45962</v>
      </c>
      <c r="C11" s="7">
        <v>0.76736111111111116</v>
      </c>
      <c r="D11" s="3" t="s">
        <v>27</v>
      </c>
      <c r="E11" s="3">
        <v>1</v>
      </c>
      <c r="F11" s="3" t="s">
        <v>24</v>
      </c>
      <c r="G11" s="3" t="s">
        <v>21</v>
      </c>
      <c r="H11" s="3" t="s">
        <v>25</v>
      </c>
      <c r="I11" s="2">
        <v>45962</v>
      </c>
      <c r="J11" s="7">
        <v>0.79166666666666663</v>
      </c>
      <c r="K11" s="12">
        <f>IFERROR(IF(FManutencao[[#This Row],[Hora Fim]]="","",(FManutencao[[#This Row],[Data Fim]]+FManutencao[[#This Row],[Hora Fim]])-(FManutencao[[#This Row],[Data Início]]+FManutencao[[#This Row],[Hora Início]])),"Data Fim errada")</f>
        <v>2.4305555554747116E-2</v>
      </c>
    </row>
    <row r="12" spans="2:11" hidden="1" x14ac:dyDescent="0.3">
      <c r="B12" s="2">
        <v>45962</v>
      </c>
      <c r="C12" s="7">
        <v>0.34027777777777779</v>
      </c>
      <c r="D12" s="3" t="s">
        <v>28</v>
      </c>
      <c r="E12" s="3">
        <v>1</v>
      </c>
      <c r="F12" s="3" t="s">
        <v>20</v>
      </c>
      <c r="G12" s="3" t="s">
        <v>21</v>
      </c>
      <c r="H12" s="3" t="s">
        <v>22</v>
      </c>
      <c r="I12" s="2">
        <v>45962</v>
      </c>
      <c r="J12" s="7">
        <v>0.35555555555555557</v>
      </c>
      <c r="K12" s="12">
        <f>IFERROR(IF(FManutencao[[#This Row],[Hora Fim]]="","",(FManutencao[[#This Row],[Data Fim]]+FManutencao[[#This Row],[Hora Fim]])-(FManutencao[[#This Row],[Data Início]]+FManutencao[[#This Row],[Hora Início]])),"Data Fim errada")</f>
        <v>1.5277777776645962E-2</v>
      </c>
    </row>
    <row r="13" spans="2:11" hidden="1" x14ac:dyDescent="0.3">
      <c r="B13" s="2">
        <v>45962</v>
      </c>
      <c r="C13" s="7">
        <v>0.43958333333333333</v>
      </c>
      <c r="D13" s="3" t="s">
        <v>28</v>
      </c>
      <c r="E13" s="3">
        <v>1</v>
      </c>
      <c r="F13" s="3" t="s">
        <v>20</v>
      </c>
      <c r="G13" s="3" t="s">
        <v>29</v>
      </c>
      <c r="H13" s="3" t="s">
        <v>23</v>
      </c>
      <c r="I13" s="2">
        <v>45962</v>
      </c>
      <c r="J13" s="7">
        <v>0.44305555555555554</v>
      </c>
      <c r="K13" s="12">
        <f>IFERROR(IF(FManutencao[[#This Row],[Hora Fim]]="","",(FManutencao[[#This Row],[Data Fim]]+FManutencao[[#This Row],[Hora Fim]])-(FManutencao[[#This Row],[Data Início]]+FManutencao[[#This Row],[Hora Início]])),"Data Fim errada")</f>
        <v>3.4722222262644209E-3</v>
      </c>
    </row>
    <row r="14" spans="2:11" hidden="1" x14ac:dyDescent="0.3">
      <c r="B14" s="2">
        <v>45962</v>
      </c>
      <c r="C14" s="7">
        <v>0.76736111111111116</v>
      </c>
      <c r="D14" s="3" t="s">
        <v>28</v>
      </c>
      <c r="E14" s="3">
        <v>1</v>
      </c>
      <c r="F14" s="3" t="s">
        <v>24</v>
      </c>
      <c r="G14" s="3" t="s">
        <v>29</v>
      </c>
      <c r="H14" s="3" t="s">
        <v>25</v>
      </c>
      <c r="I14" s="2">
        <v>45962</v>
      </c>
      <c r="J14" s="7">
        <v>0.79166666666666663</v>
      </c>
      <c r="K14" s="12">
        <f>IFERROR(IF(FManutencao[[#This Row],[Hora Fim]]="","",(FManutencao[[#This Row],[Data Fim]]+FManutencao[[#This Row],[Hora Fim]])-(FManutencao[[#This Row],[Data Início]]+FManutencao[[#This Row],[Hora Início]])),"Data Fim errada")</f>
        <v>2.4305555554747116E-2</v>
      </c>
    </row>
    <row r="15" spans="2:11" hidden="1" x14ac:dyDescent="0.3">
      <c r="B15" s="2">
        <v>45962</v>
      </c>
      <c r="C15" s="7">
        <v>0.79166666666666663</v>
      </c>
      <c r="D15" s="3" t="s">
        <v>19</v>
      </c>
      <c r="E15" s="3">
        <v>2</v>
      </c>
      <c r="F15" s="3" t="s">
        <v>24</v>
      </c>
      <c r="G15" s="3" t="s">
        <v>21</v>
      </c>
      <c r="H15" s="3" t="s">
        <v>25</v>
      </c>
      <c r="I15" s="2">
        <v>45962</v>
      </c>
      <c r="J15" s="7">
        <v>0.94027777777777777</v>
      </c>
      <c r="K15" s="12">
        <f>IFERROR(IF(FManutencao[[#This Row],[Hora Fim]]="","",(FManutencao[[#This Row],[Data Fim]]+FManutencao[[#This Row],[Hora Fim]])-(FManutencao[[#This Row],[Data Início]]+FManutencao[[#This Row],[Hora Início]])),"Data Fim errada")</f>
        <v>0.148611111115315</v>
      </c>
    </row>
    <row r="16" spans="2:11" hidden="1" x14ac:dyDescent="0.3">
      <c r="B16" s="2">
        <v>45962</v>
      </c>
      <c r="C16" s="7">
        <v>0.99097222222222225</v>
      </c>
      <c r="D16" s="3" t="s">
        <v>19</v>
      </c>
      <c r="E16" s="3">
        <v>2</v>
      </c>
      <c r="F16" s="3" t="s">
        <v>20</v>
      </c>
      <c r="G16" s="3" t="s">
        <v>21</v>
      </c>
      <c r="H16" s="3" t="s">
        <v>30</v>
      </c>
      <c r="I16" s="2">
        <v>45963</v>
      </c>
      <c r="J16" s="7">
        <v>0.11666666666666667</v>
      </c>
      <c r="K16" s="12">
        <f>IFERROR(IF(FManutencao[[#This Row],[Hora Fim]]="","",(FManutencao[[#This Row],[Data Fim]]+FManutencao[[#This Row],[Hora Fim]])-(FManutencao[[#This Row],[Data Início]]+FManutencao[[#This Row],[Hora Início]])),"Data Fim errada")</f>
        <v>0.12569444444670808</v>
      </c>
    </row>
    <row r="17" spans="2:11" x14ac:dyDescent="0.3">
      <c r="B17" s="2">
        <v>45962</v>
      </c>
      <c r="C17" s="7">
        <v>0.12569444444444444</v>
      </c>
      <c r="D17" s="3" t="s">
        <v>19</v>
      </c>
      <c r="E17" s="3">
        <v>2</v>
      </c>
      <c r="F17" s="3" t="s">
        <v>20</v>
      </c>
      <c r="G17" s="3" t="s">
        <v>21</v>
      </c>
      <c r="H17" s="3" t="s">
        <v>30</v>
      </c>
      <c r="I17" s="2">
        <v>45962</v>
      </c>
      <c r="J17" s="7">
        <v>0.29166666666666669</v>
      </c>
      <c r="K17" s="12">
        <f>IFERROR(IF(FManutencao[[#This Row],[Hora Fim]]="","",(FManutencao[[#This Row],[Data Fim]]+FManutencao[[#This Row],[Hora Fim]])-(FManutencao[[#This Row],[Data Início]]+FManutencao[[#This Row],[Hora Início]])),"Data Fim errada")</f>
        <v>0.16597222221753327</v>
      </c>
    </row>
    <row r="18" spans="2:11" hidden="1" x14ac:dyDescent="0.3">
      <c r="B18" s="2">
        <v>45962</v>
      </c>
      <c r="C18" s="7">
        <v>0.79166666666666663</v>
      </c>
      <c r="D18" s="3" t="s">
        <v>26</v>
      </c>
      <c r="E18" s="3">
        <v>2</v>
      </c>
      <c r="F18" s="3" t="s">
        <v>24</v>
      </c>
      <c r="G18" s="3" t="s">
        <v>21</v>
      </c>
      <c r="H18" s="3" t="s">
        <v>25</v>
      </c>
      <c r="I18" s="2">
        <v>45962</v>
      </c>
      <c r="J18" s="7">
        <v>0.94027777777777777</v>
      </c>
      <c r="K18" s="12">
        <f>IFERROR(IF(FManutencao[[#This Row],[Hora Fim]]="","",(FManutencao[[#This Row],[Data Fim]]+FManutencao[[#This Row],[Hora Fim]])-(FManutencao[[#This Row],[Data Início]]+FManutencao[[#This Row],[Hora Início]])),"Data Fim errada")</f>
        <v>0.148611111115315</v>
      </c>
    </row>
    <row r="19" spans="2:11" hidden="1" x14ac:dyDescent="0.3">
      <c r="B19" s="2">
        <v>45962</v>
      </c>
      <c r="C19" s="7">
        <v>0.99097222222222225</v>
      </c>
      <c r="D19" s="3" t="s">
        <v>26</v>
      </c>
      <c r="E19" s="3">
        <v>2</v>
      </c>
      <c r="F19" s="3" t="s">
        <v>20</v>
      </c>
      <c r="G19" s="3" t="s">
        <v>21</v>
      </c>
      <c r="H19" s="3" t="s">
        <v>30</v>
      </c>
      <c r="I19" s="2">
        <v>45963</v>
      </c>
      <c r="J19" s="7">
        <v>0.11666666666666667</v>
      </c>
      <c r="K19" s="12">
        <f>IFERROR(IF(FManutencao[[#This Row],[Hora Fim]]="","",(FManutencao[[#This Row],[Data Fim]]+FManutencao[[#This Row],[Hora Fim]])-(FManutencao[[#This Row],[Data Início]]+FManutencao[[#This Row],[Hora Início]])),"Data Fim errada")</f>
        <v>0.12569444444670808</v>
      </c>
    </row>
    <row r="20" spans="2:11" x14ac:dyDescent="0.3">
      <c r="B20" s="2">
        <v>45962</v>
      </c>
      <c r="C20" s="7">
        <v>0.12569444444444444</v>
      </c>
      <c r="D20" s="3" t="s">
        <v>26</v>
      </c>
      <c r="E20" s="3">
        <v>2</v>
      </c>
      <c r="F20" s="3" t="s">
        <v>20</v>
      </c>
      <c r="G20" s="3" t="s">
        <v>21</v>
      </c>
      <c r="H20" s="3" t="s">
        <v>30</v>
      </c>
      <c r="I20" s="2">
        <v>45962</v>
      </c>
      <c r="J20" s="7">
        <v>0.29166666666666669</v>
      </c>
      <c r="K20" s="12">
        <f>IFERROR(IF(FManutencao[[#This Row],[Hora Fim]]="","",(FManutencao[[#This Row],[Data Fim]]+FManutencao[[#This Row],[Hora Fim]])-(FManutencao[[#This Row],[Data Início]]+FManutencao[[#This Row],[Hora Início]])),"Data Fim errada")</f>
        <v>0.16597222221753327</v>
      </c>
    </row>
    <row r="21" spans="2:11" hidden="1" x14ac:dyDescent="0.3">
      <c r="B21" s="2">
        <v>45962</v>
      </c>
      <c r="C21" s="7">
        <v>0.79166666666666663</v>
      </c>
      <c r="D21" s="3" t="s">
        <v>27</v>
      </c>
      <c r="E21" s="3">
        <v>2</v>
      </c>
      <c r="F21" s="3" t="s">
        <v>24</v>
      </c>
      <c r="G21" s="3" t="s">
        <v>21</v>
      </c>
      <c r="H21" s="3" t="s">
        <v>25</v>
      </c>
      <c r="I21" s="2">
        <v>45962</v>
      </c>
      <c r="J21" s="7">
        <v>0.94027777777777777</v>
      </c>
      <c r="K21" s="12">
        <f>IFERROR(IF(FManutencao[[#This Row],[Hora Fim]]="","",(FManutencao[[#This Row],[Data Fim]]+FManutencao[[#This Row],[Hora Fim]])-(FManutencao[[#This Row],[Data Início]]+FManutencao[[#This Row],[Hora Início]])),"Data Fim errada")</f>
        <v>0.148611111115315</v>
      </c>
    </row>
    <row r="22" spans="2:11" hidden="1" x14ac:dyDescent="0.3">
      <c r="B22" s="2">
        <v>45962</v>
      </c>
      <c r="C22" s="7">
        <v>0.99097222222222225</v>
      </c>
      <c r="D22" s="3" t="s">
        <v>27</v>
      </c>
      <c r="E22" s="3">
        <v>2</v>
      </c>
      <c r="F22" s="3" t="s">
        <v>20</v>
      </c>
      <c r="G22" s="3" t="s">
        <v>29</v>
      </c>
      <c r="H22" s="3" t="s">
        <v>30</v>
      </c>
      <c r="I22" s="2">
        <v>45963</v>
      </c>
      <c r="J22" s="7">
        <v>0.11666666666666667</v>
      </c>
      <c r="K22" s="12">
        <f>IFERROR(IF(FManutencao[[#This Row],[Hora Fim]]="","",(FManutencao[[#This Row],[Data Fim]]+FManutencao[[#This Row],[Hora Fim]])-(FManutencao[[#This Row],[Data Início]]+FManutencao[[#This Row],[Hora Início]])),"Data Fim errada")</f>
        <v>0.12569444444670808</v>
      </c>
    </row>
    <row r="23" spans="2:11" x14ac:dyDescent="0.3">
      <c r="B23" s="2">
        <v>45962</v>
      </c>
      <c r="C23" s="7">
        <v>0.12569444444444444</v>
      </c>
      <c r="D23" s="3" t="s">
        <v>27</v>
      </c>
      <c r="E23" s="3">
        <v>2</v>
      </c>
      <c r="F23" s="3" t="s">
        <v>20</v>
      </c>
      <c r="G23" s="3" t="s">
        <v>29</v>
      </c>
      <c r="H23" s="3" t="s">
        <v>30</v>
      </c>
      <c r="I23" s="2">
        <v>45962</v>
      </c>
      <c r="J23" s="7">
        <v>0.29166666666666669</v>
      </c>
      <c r="K23" s="12">
        <f>IFERROR(IF(FManutencao[[#This Row],[Hora Fim]]="","",(FManutencao[[#This Row],[Data Fim]]+FManutencao[[#This Row],[Hora Fim]])-(FManutencao[[#This Row],[Data Início]]+FManutencao[[#This Row],[Hora Início]])),"Data Fim errada")</f>
        <v>0.16597222221753327</v>
      </c>
    </row>
    <row r="24" spans="2:11" hidden="1" x14ac:dyDescent="0.3">
      <c r="B24" s="2">
        <v>45962</v>
      </c>
      <c r="C24" s="7">
        <v>0.79166666666666663</v>
      </c>
      <c r="D24" s="3" t="s">
        <v>28</v>
      </c>
      <c r="E24" s="3">
        <v>2</v>
      </c>
      <c r="F24" s="3" t="s">
        <v>24</v>
      </c>
      <c r="G24" s="3" t="s">
        <v>29</v>
      </c>
      <c r="H24" s="3" t="s">
        <v>25</v>
      </c>
      <c r="I24" s="2">
        <v>45962</v>
      </c>
      <c r="J24" s="7">
        <v>0.94027777777777777</v>
      </c>
      <c r="K24" s="12">
        <f>IFERROR(IF(FManutencao[[#This Row],[Hora Fim]]="","",(FManutencao[[#This Row],[Data Fim]]+FManutencao[[#This Row],[Hora Fim]])-(FManutencao[[#This Row],[Data Início]]+FManutencao[[#This Row],[Hora Início]])),"Data Fim errada")</f>
        <v>0.148611111115315</v>
      </c>
    </row>
    <row r="25" spans="2:11" hidden="1" x14ac:dyDescent="0.3">
      <c r="B25" s="2">
        <v>45962</v>
      </c>
      <c r="C25" s="7">
        <v>0.99097222222222225</v>
      </c>
      <c r="D25" s="3" t="s">
        <v>28</v>
      </c>
      <c r="E25" s="3">
        <v>2</v>
      </c>
      <c r="F25" s="3" t="s">
        <v>20</v>
      </c>
      <c r="G25" s="3" t="s">
        <v>21</v>
      </c>
      <c r="H25" s="3" t="s">
        <v>30</v>
      </c>
      <c r="I25" s="2">
        <v>45963</v>
      </c>
      <c r="J25" s="7">
        <v>0.11666666666666667</v>
      </c>
      <c r="K25" s="12">
        <f>IFERROR(IF(FManutencao[[#This Row],[Hora Fim]]="","",(FManutencao[[#This Row],[Data Fim]]+FManutencao[[#This Row],[Hora Fim]])-(FManutencao[[#This Row],[Data Início]]+FManutencao[[#This Row],[Hora Início]])),"Data Fim errada")</f>
        <v>0.12569444444670808</v>
      </c>
    </row>
    <row r="26" spans="2:11" x14ac:dyDescent="0.3">
      <c r="B26" s="2">
        <v>45962</v>
      </c>
      <c r="C26" s="7">
        <v>0.12569444444444444</v>
      </c>
      <c r="D26" s="3" t="s">
        <v>28</v>
      </c>
      <c r="E26" s="3">
        <v>2</v>
      </c>
      <c r="F26" s="3" t="s">
        <v>20</v>
      </c>
      <c r="G26" s="3" t="s">
        <v>21</v>
      </c>
      <c r="H26" s="3" t="s">
        <v>30</v>
      </c>
      <c r="I26" s="2">
        <v>45962</v>
      </c>
      <c r="J26" s="7">
        <v>0.29166666666666669</v>
      </c>
      <c r="K26" s="12">
        <f>IFERROR(IF(FManutencao[[#This Row],[Hora Fim]]="","",(FManutencao[[#This Row],[Data Fim]]+FManutencao[[#This Row],[Hora Fim]])-(FManutencao[[#This Row],[Data Início]]+FManutencao[[#This Row],[Hora Início]])),"Data Fim errada")</f>
        <v>0.16597222221753327</v>
      </c>
    </row>
    <row r="27" spans="2:11" hidden="1" x14ac:dyDescent="0.3">
      <c r="B27" s="2">
        <v>45963</v>
      </c>
      <c r="C27" s="7">
        <v>0.29166666666666669</v>
      </c>
      <c r="D27" s="3" t="s">
        <v>19</v>
      </c>
      <c r="E27" s="3">
        <v>1</v>
      </c>
      <c r="F27" s="3" t="s">
        <v>20</v>
      </c>
      <c r="G27" s="3" t="s">
        <v>21</v>
      </c>
      <c r="H27" s="3" t="s">
        <v>31</v>
      </c>
      <c r="I27" s="2">
        <v>45963</v>
      </c>
      <c r="J27" s="7">
        <v>0.4284722222222222</v>
      </c>
      <c r="K27" s="12">
        <f>IFERROR(IF(FManutencao[[#This Row],[Hora Fim]]="","",(FManutencao[[#This Row],[Data Fim]]+FManutencao[[#This Row],[Hora Fim]])-(FManutencao[[#This Row],[Data Início]]+FManutencao[[#This Row],[Hora Início]])),"Data Fim errada")</f>
        <v>0.1368055555576575</v>
      </c>
    </row>
    <row r="28" spans="2:11" hidden="1" x14ac:dyDescent="0.3">
      <c r="B28" s="2">
        <v>45963</v>
      </c>
      <c r="C28" s="7">
        <v>0.4861111111111111</v>
      </c>
      <c r="D28" s="3" t="s">
        <v>19</v>
      </c>
      <c r="E28" s="3">
        <v>1</v>
      </c>
      <c r="F28" s="3" t="s">
        <v>20</v>
      </c>
      <c r="G28" s="3" t="s">
        <v>29</v>
      </c>
      <c r="H28" s="3" t="s">
        <v>32</v>
      </c>
      <c r="I28" s="2">
        <v>45963</v>
      </c>
      <c r="J28" s="7">
        <v>0.50138888888888888</v>
      </c>
      <c r="K28" s="12">
        <f>IFERROR(IF(FManutencao[[#This Row],[Hora Fim]]="","",(FManutencao[[#This Row],[Data Fim]]+FManutencao[[#This Row],[Hora Fim]])-(FManutencao[[#This Row],[Data Início]]+FManutencao[[#This Row],[Hora Início]])),"Data Fim errada")</f>
        <v>1.5277777776645962E-2</v>
      </c>
    </row>
    <row r="29" spans="2:11" hidden="1" x14ac:dyDescent="0.3">
      <c r="B29" s="2">
        <v>45963</v>
      </c>
      <c r="C29" s="7">
        <v>0.53472222222222221</v>
      </c>
      <c r="D29" s="3" t="s">
        <v>19</v>
      </c>
      <c r="E29" s="3">
        <v>1</v>
      </c>
      <c r="F29" s="3" t="s">
        <v>20</v>
      </c>
      <c r="G29" s="3" t="s">
        <v>29</v>
      </c>
      <c r="H29" s="3" t="s">
        <v>32</v>
      </c>
      <c r="I29" s="2">
        <v>45963</v>
      </c>
      <c r="J29" s="7">
        <v>0.54305555555555551</v>
      </c>
      <c r="K29" s="12">
        <f>IFERROR(IF(FManutencao[[#This Row],[Hora Fim]]="","",(FManutencao[[#This Row],[Data Fim]]+FManutencao[[#This Row],[Hora Fim]])-(FManutencao[[#This Row],[Data Início]]+FManutencao[[#This Row],[Hora Início]])),"Data Fim errada")</f>
        <v>8.3333333386690356E-3</v>
      </c>
    </row>
    <row r="30" spans="2:11" hidden="1" x14ac:dyDescent="0.3">
      <c r="B30" s="2">
        <v>45963</v>
      </c>
      <c r="C30" s="7">
        <v>0.60833333333333328</v>
      </c>
      <c r="D30" s="3" t="s">
        <v>19</v>
      </c>
      <c r="E30" s="3">
        <v>1</v>
      </c>
      <c r="F30" s="3" t="s">
        <v>24</v>
      </c>
      <c r="G30" s="3" t="s">
        <v>29</v>
      </c>
      <c r="H30" s="3" t="s">
        <v>33</v>
      </c>
      <c r="I30" s="2">
        <v>45963</v>
      </c>
      <c r="J30" s="7">
        <v>0.79166666666666663</v>
      </c>
      <c r="K30" s="12">
        <f>IFERROR(IF(FManutencao[[#This Row],[Hora Fim]]="","",(FManutencao[[#This Row],[Data Fim]]+FManutencao[[#This Row],[Hora Fim]])-(FManutencao[[#This Row],[Data Início]]+FManutencao[[#This Row],[Hora Início]])),"Data Fim errada")</f>
        <v>0.18333333333430346</v>
      </c>
    </row>
    <row r="31" spans="2:11" hidden="1" x14ac:dyDescent="0.3">
      <c r="B31" s="2">
        <v>45963</v>
      </c>
      <c r="C31" s="7">
        <v>0.29166666666666669</v>
      </c>
      <c r="D31" s="3" t="s">
        <v>26</v>
      </c>
      <c r="E31" s="3">
        <v>1</v>
      </c>
      <c r="F31" s="3" t="s">
        <v>20</v>
      </c>
      <c r="G31" s="3" t="s">
        <v>21</v>
      </c>
      <c r="H31" s="3" t="s">
        <v>31</v>
      </c>
      <c r="I31" s="2">
        <v>45963</v>
      </c>
      <c r="J31" s="7">
        <v>0.4284722222222222</v>
      </c>
      <c r="K31" s="12">
        <f>IFERROR(IF(FManutencao[[#This Row],[Hora Fim]]="","",(FManutencao[[#This Row],[Data Fim]]+FManutencao[[#This Row],[Hora Fim]])-(FManutencao[[#This Row],[Data Início]]+FManutencao[[#This Row],[Hora Início]])),"Data Fim errada")</f>
        <v>0.1368055555576575</v>
      </c>
    </row>
    <row r="32" spans="2:11" hidden="1" x14ac:dyDescent="0.3">
      <c r="B32" s="2">
        <v>45963</v>
      </c>
      <c r="C32" s="7">
        <v>0.4861111111111111</v>
      </c>
      <c r="D32" s="3" t="s">
        <v>26</v>
      </c>
      <c r="E32" s="3">
        <v>1</v>
      </c>
      <c r="F32" s="3" t="s">
        <v>20</v>
      </c>
      <c r="G32" s="3" t="s">
        <v>21</v>
      </c>
      <c r="H32" s="3" t="s">
        <v>32</v>
      </c>
      <c r="I32" s="2">
        <v>45963</v>
      </c>
      <c r="J32" s="7">
        <v>0.50138888888888888</v>
      </c>
      <c r="K32" s="12">
        <f>IFERROR(IF(FManutencao[[#This Row],[Hora Fim]]="","",(FManutencao[[#This Row],[Data Fim]]+FManutencao[[#This Row],[Hora Fim]])-(FManutencao[[#This Row],[Data Início]]+FManutencao[[#This Row],[Hora Início]])),"Data Fim errada")</f>
        <v>1.5277777776645962E-2</v>
      </c>
    </row>
    <row r="33" spans="2:11" hidden="1" x14ac:dyDescent="0.3">
      <c r="B33" s="2">
        <v>45963</v>
      </c>
      <c r="C33" s="7">
        <v>0.53472222222222221</v>
      </c>
      <c r="D33" s="3" t="s">
        <v>26</v>
      </c>
      <c r="E33" s="3">
        <v>1</v>
      </c>
      <c r="F33" s="3" t="s">
        <v>20</v>
      </c>
      <c r="G33" s="3" t="s">
        <v>21</v>
      </c>
      <c r="H33" s="3" t="s">
        <v>32</v>
      </c>
      <c r="I33" s="2">
        <v>45963</v>
      </c>
      <c r="J33" s="7">
        <v>0.54305555555555551</v>
      </c>
      <c r="K33" s="12">
        <f>IFERROR(IF(FManutencao[[#This Row],[Hora Fim]]="","",(FManutencao[[#This Row],[Data Fim]]+FManutencao[[#This Row],[Hora Fim]])-(FManutencao[[#This Row],[Data Início]]+FManutencao[[#This Row],[Hora Início]])),"Data Fim errada")</f>
        <v>8.3333333386690356E-3</v>
      </c>
    </row>
    <row r="34" spans="2:11" hidden="1" x14ac:dyDescent="0.3">
      <c r="B34" s="2">
        <v>45963</v>
      </c>
      <c r="C34" s="7">
        <v>0.60833333333333328</v>
      </c>
      <c r="D34" s="3" t="s">
        <v>26</v>
      </c>
      <c r="E34" s="3">
        <v>1</v>
      </c>
      <c r="F34" s="3" t="s">
        <v>24</v>
      </c>
      <c r="G34" s="3" t="s">
        <v>21</v>
      </c>
      <c r="H34" s="3" t="s">
        <v>33</v>
      </c>
      <c r="I34" s="2">
        <v>45963</v>
      </c>
      <c r="J34" s="7">
        <v>0.79166666666666663</v>
      </c>
      <c r="K34" s="12">
        <f>IFERROR(IF(FManutencao[[#This Row],[Hora Fim]]="","",(FManutencao[[#This Row],[Data Fim]]+FManutencao[[#This Row],[Hora Fim]])-(FManutencao[[#This Row],[Data Início]]+FManutencao[[#This Row],[Hora Início]])),"Data Fim errada")</f>
        <v>0.18333333333430346</v>
      </c>
    </row>
    <row r="35" spans="2:11" hidden="1" x14ac:dyDescent="0.3">
      <c r="B35" s="2">
        <v>45963</v>
      </c>
      <c r="C35" s="7">
        <v>0.29166666666666669</v>
      </c>
      <c r="D35" s="3" t="s">
        <v>27</v>
      </c>
      <c r="E35" s="3">
        <v>1</v>
      </c>
      <c r="F35" s="3" t="s">
        <v>20</v>
      </c>
      <c r="G35" s="3" t="s">
        <v>29</v>
      </c>
      <c r="H35" s="3" t="s">
        <v>31</v>
      </c>
      <c r="I35" s="2">
        <v>45963</v>
      </c>
      <c r="J35" s="7">
        <v>0.4284722222222222</v>
      </c>
      <c r="K35" s="12">
        <f>IFERROR(IF(FManutencao[[#This Row],[Hora Fim]]="","",(FManutencao[[#This Row],[Data Fim]]+FManutencao[[#This Row],[Hora Fim]])-(FManutencao[[#This Row],[Data Início]]+FManutencao[[#This Row],[Hora Início]])),"Data Fim errada")</f>
        <v>0.1368055555576575</v>
      </c>
    </row>
    <row r="36" spans="2:11" hidden="1" x14ac:dyDescent="0.3">
      <c r="B36" s="2">
        <v>45963</v>
      </c>
      <c r="C36" s="7">
        <v>0.4861111111111111</v>
      </c>
      <c r="D36" s="3" t="s">
        <v>27</v>
      </c>
      <c r="E36" s="3">
        <v>1</v>
      </c>
      <c r="F36" s="3" t="s">
        <v>20</v>
      </c>
      <c r="G36" s="3" t="s">
        <v>21</v>
      </c>
      <c r="H36" s="3" t="s">
        <v>32</v>
      </c>
      <c r="I36" s="2">
        <v>45963</v>
      </c>
      <c r="J36" s="7">
        <v>0.50138888888888888</v>
      </c>
      <c r="K36" s="12">
        <f>IFERROR(IF(FManutencao[[#This Row],[Hora Fim]]="","",(FManutencao[[#This Row],[Data Fim]]+FManutencao[[#This Row],[Hora Fim]])-(FManutencao[[#This Row],[Data Início]]+FManutencao[[#This Row],[Hora Início]])),"Data Fim errada")</f>
        <v>1.5277777776645962E-2</v>
      </c>
    </row>
    <row r="37" spans="2:11" hidden="1" x14ac:dyDescent="0.3">
      <c r="B37" s="2">
        <v>45963</v>
      </c>
      <c r="C37" s="7">
        <v>0.53472222222222221</v>
      </c>
      <c r="D37" s="3" t="s">
        <v>27</v>
      </c>
      <c r="E37" s="3">
        <v>1</v>
      </c>
      <c r="F37" s="3" t="s">
        <v>20</v>
      </c>
      <c r="G37" s="3" t="s">
        <v>21</v>
      </c>
      <c r="H37" s="3" t="s">
        <v>32</v>
      </c>
      <c r="I37" s="2">
        <v>45963</v>
      </c>
      <c r="J37" s="7">
        <v>0.54305555555555551</v>
      </c>
      <c r="K37" s="12">
        <f>IFERROR(IF(FManutencao[[#This Row],[Hora Fim]]="","",(FManutencao[[#This Row],[Data Fim]]+FManutencao[[#This Row],[Hora Fim]])-(FManutencao[[#This Row],[Data Início]]+FManutencao[[#This Row],[Hora Início]])),"Data Fim errada")</f>
        <v>8.3333333386690356E-3</v>
      </c>
    </row>
    <row r="38" spans="2:11" hidden="1" x14ac:dyDescent="0.3">
      <c r="B38" s="2">
        <v>45963</v>
      </c>
      <c r="C38" s="7">
        <v>0.60833333333333328</v>
      </c>
      <c r="D38" s="3" t="s">
        <v>27</v>
      </c>
      <c r="E38" s="3">
        <v>1</v>
      </c>
      <c r="F38" s="3" t="s">
        <v>24</v>
      </c>
      <c r="G38" s="3" t="s">
        <v>21</v>
      </c>
      <c r="H38" s="3" t="s">
        <v>33</v>
      </c>
      <c r="I38" s="2">
        <v>45963</v>
      </c>
      <c r="J38" s="7">
        <v>0.79166666666666663</v>
      </c>
      <c r="K38" s="12">
        <f>IFERROR(IF(FManutencao[[#This Row],[Hora Fim]]="","",(FManutencao[[#This Row],[Data Fim]]+FManutencao[[#This Row],[Hora Fim]])-(FManutencao[[#This Row],[Data Início]]+FManutencao[[#This Row],[Hora Início]])),"Data Fim errada")</f>
        <v>0.18333333333430346</v>
      </c>
    </row>
    <row r="39" spans="2:11" hidden="1" x14ac:dyDescent="0.3">
      <c r="B39" s="2">
        <v>45963</v>
      </c>
      <c r="C39" s="7">
        <v>0.29166666666666669</v>
      </c>
      <c r="D39" s="3" t="s">
        <v>28</v>
      </c>
      <c r="E39" s="3">
        <v>1</v>
      </c>
      <c r="F39" s="3" t="s">
        <v>20</v>
      </c>
      <c r="G39" s="3" t="s">
        <v>21</v>
      </c>
      <c r="H39" s="3" t="s">
        <v>31</v>
      </c>
      <c r="I39" s="2">
        <v>45963</v>
      </c>
      <c r="J39" s="7">
        <v>0.4284722222222222</v>
      </c>
      <c r="K39" s="12">
        <f>IFERROR(IF(FManutencao[[#This Row],[Hora Fim]]="","",(FManutencao[[#This Row],[Data Fim]]+FManutencao[[#This Row],[Hora Fim]])-(FManutencao[[#This Row],[Data Início]]+FManutencao[[#This Row],[Hora Início]])),"Data Fim errada")</f>
        <v>0.1368055555576575</v>
      </c>
    </row>
    <row r="40" spans="2:11" hidden="1" x14ac:dyDescent="0.3">
      <c r="B40" s="2">
        <v>45963</v>
      </c>
      <c r="C40" s="7">
        <v>0.4861111111111111</v>
      </c>
      <c r="D40" s="3" t="s">
        <v>28</v>
      </c>
      <c r="E40" s="3">
        <v>1</v>
      </c>
      <c r="F40" s="3" t="s">
        <v>20</v>
      </c>
      <c r="G40" s="3" t="s">
        <v>21</v>
      </c>
      <c r="H40" s="3" t="s">
        <v>32</v>
      </c>
      <c r="I40" s="2">
        <v>45963</v>
      </c>
      <c r="J40" s="7">
        <v>0.50138888888888888</v>
      </c>
      <c r="K40" s="12">
        <f>IFERROR(IF(FManutencao[[#This Row],[Hora Fim]]="","",(FManutencao[[#This Row],[Data Fim]]+FManutencao[[#This Row],[Hora Fim]])-(FManutencao[[#This Row],[Data Início]]+FManutencao[[#This Row],[Hora Início]])),"Data Fim errada")</f>
        <v>1.5277777776645962E-2</v>
      </c>
    </row>
    <row r="41" spans="2:11" hidden="1" x14ac:dyDescent="0.3">
      <c r="B41" s="2">
        <v>45963</v>
      </c>
      <c r="C41" s="7">
        <v>0.53472222222222221</v>
      </c>
      <c r="D41" s="3" t="s">
        <v>28</v>
      </c>
      <c r="E41" s="3">
        <v>1</v>
      </c>
      <c r="F41" s="3" t="s">
        <v>20</v>
      </c>
      <c r="G41" s="3" t="s">
        <v>21</v>
      </c>
      <c r="H41" s="3" t="s">
        <v>32</v>
      </c>
      <c r="I41" s="2">
        <v>45963</v>
      </c>
      <c r="J41" s="7">
        <v>0.54305555555555551</v>
      </c>
      <c r="K41" s="12">
        <f>IFERROR(IF(FManutencao[[#This Row],[Hora Fim]]="","",(FManutencao[[#This Row],[Data Fim]]+FManutencao[[#This Row],[Hora Fim]])-(FManutencao[[#This Row],[Data Início]]+FManutencao[[#This Row],[Hora Início]])),"Data Fim errada")</f>
        <v>8.3333333386690356E-3</v>
      </c>
    </row>
    <row r="42" spans="2:11" hidden="1" x14ac:dyDescent="0.3">
      <c r="B42" s="2">
        <v>45963</v>
      </c>
      <c r="C42" s="7">
        <v>0.60833333333333328</v>
      </c>
      <c r="D42" s="3" t="s">
        <v>28</v>
      </c>
      <c r="E42" s="3">
        <v>1</v>
      </c>
      <c r="F42" s="3" t="s">
        <v>24</v>
      </c>
      <c r="G42" s="3" t="s">
        <v>21</v>
      </c>
      <c r="H42" s="3" t="s">
        <v>33</v>
      </c>
      <c r="I42" s="2">
        <v>45963</v>
      </c>
      <c r="J42" s="7">
        <v>0.79166666666666663</v>
      </c>
      <c r="K42" s="12">
        <f>IFERROR(IF(FManutencao[[#This Row],[Hora Fim]]="","",(FManutencao[[#This Row],[Data Fim]]+FManutencao[[#This Row],[Hora Fim]])-(FManutencao[[#This Row],[Data Início]]+FManutencao[[#This Row],[Hora Início]])),"Data Fim errada")</f>
        <v>0.18333333333430346</v>
      </c>
    </row>
    <row r="43" spans="2:11" hidden="1" x14ac:dyDescent="0.3">
      <c r="B43" s="2">
        <v>45963</v>
      </c>
      <c r="C43" s="7">
        <v>0.79166666666666663</v>
      </c>
      <c r="D43" s="3" t="s">
        <v>19</v>
      </c>
      <c r="E43" s="3">
        <v>2</v>
      </c>
      <c r="F43" s="3" t="s">
        <v>24</v>
      </c>
      <c r="G43" s="3" t="s">
        <v>29</v>
      </c>
      <c r="H43" s="3" t="s">
        <v>33</v>
      </c>
      <c r="I43" s="2">
        <v>45964</v>
      </c>
      <c r="J43" s="7">
        <v>0.29166666666666669</v>
      </c>
      <c r="K43" s="12">
        <f>IFERROR(IF(FManutencao[[#This Row],[Hora Fim]]="","",(FManutencao[[#This Row],[Data Fim]]+FManutencao[[#This Row],[Hora Fim]])-(FManutencao[[#This Row],[Data Início]]+FManutencao[[#This Row],[Hora Início]])),"Data Fim errada")</f>
        <v>0.5</v>
      </c>
    </row>
    <row r="44" spans="2:11" hidden="1" x14ac:dyDescent="0.3">
      <c r="B44" s="2">
        <v>45963</v>
      </c>
      <c r="C44" s="7">
        <v>0.79166666666666663</v>
      </c>
      <c r="D44" s="3" t="s">
        <v>26</v>
      </c>
      <c r="E44" s="3">
        <v>2</v>
      </c>
      <c r="F44" s="3" t="s">
        <v>24</v>
      </c>
      <c r="G44" s="3" t="s">
        <v>21</v>
      </c>
      <c r="H44" s="3" t="s">
        <v>33</v>
      </c>
      <c r="I44" s="2">
        <v>45964</v>
      </c>
      <c r="J44" s="7">
        <v>0.29166666666666669</v>
      </c>
      <c r="K44" s="12">
        <f>IFERROR(IF(FManutencao[[#This Row],[Hora Fim]]="","",(FManutencao[[#This Row],[Data Fim]]+FManutencao[[#This Row],[Hora Fim]])-(FManutencao[[#This Row],[Data Início]]+FManutencao[[#This Row],[Hora Início]])),"Data Fim errada")</f>
        <v>0.5</v>
      </c>
    </row>
    <row r="45" spans="2:11" hidden="1" x14ac:dyDescent="0.3">
      <c r="B45" s="2">
        <v>45963</v>
      </c>
      <c r="C45" s="7">
        <v>0.79166666666666663</v>
      </c>
      <c r="D45" s="3" t="s">
        <v>27</v>
      </c>
      <c r="E45" s="3">
        <v>2</v>
      </c>
      <c r="F45" s="3" t="s">
        <v>24</v>
      </c>
      <c r="G45" s="3" t="s">
        <v>21</v>
      </c>
      <c r="H45" s="3" t="s">
        <v>33</v>
      </c>
      <c r="I45" s="2">
        <v>45964</v>
      </c>
      <c r="J45" s="7">
        <v>0.29166666666666669</v>
      </c>
      <c r="K45" s="12">
        <f>IFERROR(IF(FManutencao[[#This Row],[Hora Fim]]="","",(FManutencao[[#This Row],[Data Fim]]+FManutencao[[#This Row],[Hora Fim]])-(FManutencao[[#This Row],[Data Início]]+FManutencao[[#This Row],[Hora Início]])),"Data Fim errada")</f>
        <v>0.5</v>
      </c>
    </row>
    <row r="46" spans="2:11" hidden="1" x14ac:dyDescent="0.3">
      <c r="B46" s="2">
        <v>45963</v>
      </c>
      <c r="C46" s="7">
        <v>0.79166666666666663</v>
      </c>
      <c r="D46" s="3" t="s">
        <v>28</v>
      </c>
      <c r="E46" s="3">
        <v>2</v>
      </c>
      <c r="F46" s="3" t="s">
        <v>24</v>
      </c>
      <c r="G46" s="3" t="s">
        <v>21</v>
      </c>
      <c r="H46" s="3" t="s">
        <v>33</v>
      </c>
      <c r="I46" s="2">
        <v>45964</v>
      </c>
      <c r="J46" s="7">
        <v>0.29166666666666669</v>
      </c>
      <c r="K46" s="12">
        <f>IFERROR(IF(FManutencao[[#This Row],[Hora Fim]]="","",(FManutencao[[#This Row],[Data Fim]]+FManutencao[[#This Row],[Hora Fim]])-(FManutencao[[#This Row],[Data Início]]+FManutencao[[#This Row],[Hora Início]])),"Data Fim errada")</f>
        <v>0.5</v>
      </c>
    </row>
    <row r="47" spans="2:11" hidden="1" x14ac:dyDescent="0.3">
      <c r="B47" s="2">
        <v>45964</v>
      </c>
      <c r="C47" s="7">
        <v>0.29166666666666669</v>
      </c>
      <c r="D47" s="3" t="s">
        <v>19</v>
      </c>
      <c r="E47" s="3">
        <v>1</v>
      </c>
      <c r="F47" s="3" t="s">
        <v>24</v>
      </c>
      <c r="G47" s="3" t="s">
        <v>29</v>
      </c>
      <c r="H47" s="3" t="s">
        <v>34</v>
      </c>
      <c r="I47" s="2">
        <v>45964</v>
      </c>
      <c r="J47" s="7">
        <v>0.76041666666666663</v>
      </c>
      <c r="K47" s="12">
        <f>IFERROR(IF(FManutencao[[#This Row],[Hora Fim]]="","",(FManutencao[[#This Row],[Data Fim]]+FManutencao[[#This Row],[Hora Fim]])-(FManutencao[[#This Row],[Data Início]]+FManutencao[[#This Row],[Hora Início]])),"Data Fim errada")</f>
        <v>0.46875</v>
      </c>
    </row>
    <row r="48" spans="2:11" hidden="1" x14ac:dyDescent="0.3">
      <c r="B48" s="2">
        <v>45964</v>
      </c>
      <c r="C48" s="7">
        <v>0.76388888888888884</v>
      </c>
      <c r="D48" s="3" t="s">
        <v>19</v>
      </c>
      <c r="E48" s="3">
        <v>1</v>
      </c>
      <c r="F48" s="3" t="s">
        <v>24</v>
      </c>
      <c r="G48" s="3" t="s">
        <v>21</v>
      </c>
      <c r="H48" s="3" t="s">
        <v>33</v>
      </c>
      <c r="I48" s="2">
        <v>45964</v>
      </c>
      <c r="J48" s="7">
        <v>0.77500000000000002</v>
      </c>
      <c r="K48" s="12">
        <f>IFERROR(IF(FManutencao[[#This Row],[Hora Fim]]="","",(FManutencao[[#This Row],[Data Fim]]+FManutencao[[#This Row],[Hora Fim]])-(FManutencao[[#This Row],[Data Início]]+FManutencao[[#This Row],[Hora Início]])),"Data Fim errada")</f>
        <v>1.1111111110949423E-2</v>
      </c>
    </row>
    <row r="49" spans="2:11" hidden="1" x14ac:dyDescent="0.3">
      <c r="B49" s="2">
        <v>45964</v>
      </c>
      <c r="C49" s="7">
        <v>0.29166666666666669</v>
      </c>
      <c r="D49" s="3" t="s">
        <v>26</v>
      </c>
      <c r="E49" s="3">
        <v>1</v>
      </c>
      <c r="F49" s="3" t="s">
        <v>24</v>
      </c>
      <c r="G49" s="3" t="s">
        <v>21</v>
      </c>
      <c r="H49" s="3" t="s">
        <v>34</v>
      </c>
      <c r="I49" s="2">
        <v>45964</v>
      </c>
      <c r="J49" s="7">
        <v>0.76041666666666663</v>
      </c>
      <c r="K49" s="12">
        <f>IFERROR(IF(FManutencao[[#This Row],[Hora Fim]]="","",(FManutencao[[#This Row],[Data Fim]]+FManutencao[[#This Row],[Hora Fim]])-(FManutencao[[#This Row],[Data Início]]+FManutencao[[#This Row],[Hora Início]])),"Data Fim errada")</f>
        <v>0.46875</v>
      </c>
    </row>
    <row r="50" spans="2:11" hidden="1" x14ac:dyDescent="0.3">
      <c r="B50" s="2">
        <v>45964</v>
      </c>
      <c r="C50" s="7">
        <v>0.76388888888888884</v>
      </c>
      <c r="D50" s="3" t="s">
        <v>26</v>
      </c>
      <c r="E50" s="3">
        <v>1</v>
      </c>
      <c r="F50" s="3" t="s">
        <v>24</v>
      </c>
      <c r="G50" s="3" t="s">
        <v>21</v>
      </c>
      <c r="H50" s="3" t="s">
        <v>33</v>
      </c>
      <c r="I50" s="2">
        <v>45964</v>
      </c>
      <c r="J50" s="7">
        <v>0.77500000000000002</v>
      </c>
      <c r="K50" s="12">
        <f>IFERROR(IF(FManutencao[[#This Row],[Hora Fim]]="","",(FManutencao[[#This Row],[Data Fim]]+FManutencao[[#This Row],[Hora Fim]])-(FManutencao[[#This Row],[Data Início]]+FManutencao[[#This Row],[Hora Início]])),"Data Fim errada")</f>
        <v>1.1111111110949423E-2</v>
      </c>
    </row>
    <row r="51" spans="2:11" hidden="1" x14ac:dyDescent="0.3">
      <c r="B51" s="2">
        <v>45964</v>
      </c>
      <c r="C51" s="7">
        <v>0.29166666666666669</v>
      </c>
      <c r="D51" s="3" t="s">
        <v>27</v>
      </c>
      <c r="E51" s="3">
        <v>1</v>
      </c>
      <c r="F51" s="3" t="s">
        <v>24</v>
      </c>
      <c r="G51" s="3" t="s">
        <v>21</v>
      </c>
      <c r="H51" s="3" t="s">
        <v>34</v>
      </c>
      <c r="I51" s="2">
        <v>45964</v>
      </c>
      <c r="J51" s="7">
        <v>0.76041666666666663</v>
      </c>
      <c r="K51" s="12">
        <f>IFERROR(IF(FManutencao[[#This Row],[Hora Fim]]="","",(FManutencao[[#This Row],[Data Fim]]+FManutencao[[#This Row],[Hora Fim]])-(FManutencao[[#This Row],[Data Início]]+FManutencao[[#This Row],[Hora Início]])),"Data Fim errada")</f>
        <v>0.46875</v>
      </c>
    </row>
    <row r="52" spans="2:11" hidden="1" x14ac:dyDescent="0.3">
      <c r="B52" s="2">
        <v>45964</v>
      </c>
      <c r="C52" s="7">
        <v>0.76388888888888884</v>
      </c>
      <c r="D52" s="3" t="s">
        <v>27</v>
      </c>
      <c r="E52" s="3">
        <v>1</v>
      </c>
      <c r="F52" s="3" t="s">
        <v>24</v>
      </c>
      <c r="G52" s="3" t="s">
        <v>21</v>
      </c>
      <c r="H52" s="3" t="s">
        <v>33</v>
      </c>
      <c r="I52" s="2">
        <v>45964</v>
      </c>
      <c r="J52" s="7">
        <v>0.77500000000000002</v>
      </c>
      <c r="K52" s="12">
        <f>IFERROR(IF(FManutencao[[#This Row],[Hora Fim]]="","",(FManutencao[[#This Row],[Data Fim]]+FManutencao[[#This Row],[Hora Fim]])-(FManutencao[[#This Row],[Data Início]]+FManutencao[[#This Row],[Hora Início]])),"Data Fim errada")</f>
        <v>1.1111111110949423E-2</v>
      </c>
    </row>
    <row r="53" spans="2:11" hidden="1" x14ac:dyDescent="0.3">
      <c r="B53" s="2">
        <v>45964</v>
      </c>
      <c r="C53" s="7">
        <v>0.29166666666666669</v>
      </c>
      <c r="D53" s="3" t="s">
        <v>28</v>
      </c>
      <c r="E53" s="3">
        <v>1</v>
      </c>
      <c r="F53" s="3" t="s">
        <v>24</v>
      </c>
      <c r="G53" s="3" t="s">
        <v>21</v>
      </c>
      <c r="H53" s="3" t="s">
        <v>34</v>
      </c>
      <c r="I53" s="2">
        <v>45964</v>
      </c>
      <c r="J53" s="7">
        <v>0.76041666666666663</v>
      </c>
      <c r="K53" s="12">
        <f>IFERROR(IF(FManutencao[[#This Row],[Hora Fim]]="","",(FManutencao[[#This Row],[Data Fim]]+FManutencao[[#This Row],[Hora Fim]])-(FManutencao[[#This Row],[Data Início]]+FManutencao[[#This Row],[Hora Início]])),"Data Fim errada")</f>
        <v>0.46875</v>
      </c>
    </row>
    <row r="54" spans="2:11" hidden="1" x14ac:dyDescent="0.3">
      <c r="B54" s="2">
        <v>45964</v>
      </c>
      <c r="C54" s="7">
        <v>0.76388888888888884</v>
      </c>
      <c r="D54" s="3" t="s">
        <v>28</v>
      </c>
      <c r="E54" s="3">
        <v>1</v>
      </c>
      <c r="F54" s="3" t="s">
        <v>24</v>
      </c>
      <c r="G54" s="3" t="s">
        <v>29</v>
      </c>
      <c r="H54" s="3" t="s">
        <v>33</v>
      </c>
      <c r="I54" s="2">
        <v>45964</v>
      </c>
      <c r="J54" s="7">
        <v>0.77500000000000002</v>
      </c>
      <c r="K54" s="12">
        <f>IFERROR(IF(FManutencao[[#This Row],[Hora Fim]]="","",(FManutencao[[#This Row],[Data Fim]]+FManutencao[[#This Row],[Hora Fim]])-(FManutencao[[#This Row],[Data Início]]+FManutencao[[#This Row],[Hora Início]])),"Data Fim errada")</f>
        <v>1.1111111110949423E-2</v>
      </c>
    </row>
    <row r="55" spans="2:11" hidden="1" x14ac:dyDescent="0.3">
      <c r="B55" s="2">
        <v>45964</v>
      </c>
      <c r="C55" s="7">
        <v>0.80208333333333337</v>
      </c>
      <c r="D55" s="3" t="s">
        <v>19</v>
      </c>
      <c r="E55" s="3">
        <v>2</v>
      </c>
      <c r="F55" s="3" t="s">
        <v>20</v>
      </c>
      <c r="G55" s="3" t="s">
        <v>29</v>
      </c>
      <c r="H55" s="3" t="s">
        <v>35</v>
      </c>
      <c r="I55" s="2">
        <v>45964</v>
      </c>
      <c r="J55" s="7">
        <v>0.81458333333333333</v>
      </c>
      <c r="K55" s="12">
        <f>IFERROR(IF(FManutencao[[#This Row],[Hora Fim]]="","",(FManutencao[[#This Row],[Data Fim]]+FManutencao[[#This Row],[Hora Fim]])-(FManutencao[[#This Row],[Data Início]]+FManutencao[[#This Row],[Hora Início]])),"Data Fim errada")</f>
        <v>1.2499999997089617E-2</v>
      </c>
    </row>
    <row r="56" spans="2:11" hidden="1" x14ac:dyDescent="0.3">
      <c r="B56" s="2">
        <v>45964</v>
      </c>
      <c r="C56" s="7">
        <v>0.8256944444444444</v>
      </c>
      <c r="D56" s="3" t="s">
        <v>19</v>
      </c>
      <c r="E56" s="3">
        <v>2</v>
      </c>
      <c r="F56" s="3" t="s">
        <v>20</v>
      </c>
      <c r="G56" s="3" t="s">
        <v>29</v>
      </c>
      <c r="H56" s="3" t="s">
        <v>35</v>
      </c>
      <c r="I56" s="2">
        <v>45964</v>
      </c>
      <c r="J56" s="7">
        <v>0.85555555555555551</v>
      </c>
      <c r="K56" s="12">
        <f>IFERROR(IF(FManutencao[[#This Row],[Hora Fim]]="","",(FManutencao[[#This Row],[Data Fim]]+FManutencao[[#This Row],[Hora Fim]])-(FManutencao[[#This Row],[Data Início]]+FManutencao[[#This Row],[Hora Início]])),"Data Fim errada")</f>
        <v>2.9861111113859806E-2</v>
      </c>
    </row>
    <row r="57" spans="2:11" hidden="1" x14ac:dyDescent="0.3">
      <c r="B57" s="2">
        <v>45964</v>
      </c>
      <c r="C57" s="7">
        <v>0.92083333333333328</v>
      </c>
      <c r="D57" s="3" t="s">
        <v>19</v>
      </c>
      <c r="E57" s="3">
        <v>2</v>
      </c>
      <c r="F57" s="3" t="s">
        <v>20</v>
      </c>
      <c r="G57" s="3" t="s">
        <v>21</v>
      </c>
      <c r="H57" s="3" t="s">
        <v>36</v>
      </c>
      <c r="I57" s="2">
        <v>45964</v>
      </c>
      <c r="J57" s="7">
        <v>0.92638888888888893</v>
      </c>
      <c r="K57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58" spans="2:11" hidden="1" x14ac:dyDescent="0.3">
      <c r="B58" s="2">
        <v>45964</v>
      </c>
      <c r="C58" s="7">
        <v>0.98124999999999996</v>
      </c>
      <c r="D58" s="3" t="s">
        <v>19</v>
      </c>
      <c r="E58" s="3">
        <v>2</v>
      </c>
      <c r="F58" s="3" t="s">
        <v>20</v>
      </c>
      <c r="G58" s="3" t="s">
        <v>21</v>
      </c>
      <c r="H58" s="3" t="s">
        <v>36</v>
      </c>
      <c r="I58" s="2">
        <v>45964</v>
      </c>
      <c r="J58" s="7">
        <v>0.9868055555555556</v>
      </c>
      <c r="K58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59" spans="2:11" hidden="1" x14ac:dyDescent="0.3">
      <c r="B59" s="2">
        <v>45964</v>
      </c>
      <c r="C59" s="7">
        <v>6.25E-2</v>
      </c>
      <c r="D59" s="3" t="s">
        <v>19</v>
      </c>
      <c r="E59" s="3">
        <v>2</v>
      </c>
      <c r="F59" s="3" t="s">
        <v>20</v>
      </c>
      <c r="G59" s="3" t="s">
        <v>21</v>
      </c>
      <c r="H59" s="3" t="s">
        <v>37</v>
      </c>
      <c r="I59" s="2">
        <v>45964</v>
      </c>
      <c r="J59" s="7">
        <v>0.15277777777777779</v>
      </c>
      <c r="K59" s="12">
        <f>IFERROR(IF(FManutencao[[#This Row],[Hora Fim]]="","",(FManutencao[[#This Row],[Data Fim]]+FManutencao[[#This Row],[Hora Fim]])-(FManutencao[[#This Row],[Data Início]]+FManutencao[[#This Row],[Hora Início]])),"Data Fim errada")</f>
        <v>9.0277777781011537E-2</v>
      </c>
    </row>
    <row r="60" spans="2:11" hidden="1" x14ac:dyDescent="0.3">
      <c r="B60" s="2">
        <v>45964</v>
      </c>
      <c r="C60" s="7">
        <v>6.6666666666666666E-2</v>
      </c>
      <c r="D60" s="3" t="s">
        <v>19</v>
      </c>
      <c r="E60" s="3">
        <v>2</v>
      </c>
      <c r="F60" s="3" t="s">
        <v>20</v>
      </c>
      <c r="G60" s="3" t="s">
        <v>21</v>
      </c>
      <c r="H60" s="3" t="s">
        <v>36</v>
      </c>
      <c r="I60" s="2">
        <v>45964</v>
      </c>
      <c r="J60" s="7">
        <v>6.8750000000000006E-2</v>
      </c>
      <c r="K60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61" spans="2:11" hidden="1" x14ac:dyDescent="0.3">
      <c r="B61" s="2">
        <v>45964</v>
      </c>
      <c r="C61" s="7">
        <v>7.0833333333333331E-2</v>
      </c>
      <c r="D61" s="3" t="s">
        <v>19</v>
      </c>
      <c r="E61" s="3">
        <v>2</v>
      </c>
      <c r="F61" s="3" t="s">
        <v>20</v>
      </c>
      <c r="G61" s="3" t="s">
        <v>21</v>
      </c>
      <c r="H61" s="3" t="s">
        <v>36</v>
      </c>
      <c r="I61" s="2">
        <v>45964</v>
      </c>
      <c r="J61" s="7">
        <v>7.2916666666666671E-2</v>
      </c>
      <c r="K61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62" spans="2:11" hidden="1" x14ac:dyDescent="0.3">
      <c r="B62" s="2">
        <v>45964</v>
      </c>
      <c r="C62" s="7">
        <v>8.4027777777777785E-2</v>
      </c>
      <c r="D62" s="3" t="s">
        <v>19</v>
      </c>
      <c r="E62" s="3">
        <v>2</v>
      </c>
      <c r="F62" s="3" t="s">
        <v>20</v>
      </c>
      <c r="G62" s="3" t="s">
        <v>21</v>
      </c>
      <c r="H62" s="3" t="s">
        <v>36</v>
      </c>
      <c r="I62" s="2">
        <v>45964</v>
      </c>
      <c r="J62" s="7">
        <v>8.611111111111111E-2</v>
      </c>
      <c r="K62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63" spans="2:11" hidden="1" x14ac:dyDescent="0.3">
      <c r="B63" s="2">
        <v>45964</v>
      </c>
      <c r="C63" s="7">
        <v>0.80208333333333337</v>
      </c>
      <c r="D63" s="3" t="s">
        <v>26</v>
      </c>
      <c r="E63" s="3">
        <v>2</v>
      </c>
      <c r="F63" s="3" t="s">
        <v>20</v>
      </c>
      <c r="G63" s="3" t="s">
        <v>21</v>
      </c>
      <c r="H63" s="3" t="s">
        <v>35</v>
      </c>
      <c r="I63" s="2">
        <v>45964</v>
      </c>
      <c r="J63" s="7">
        <v>0.81458333333333333</v>
      </c>
      <c r="K63" s="12">
        <f>IFERROR(IF(FManutencao[[#This Row],[Hora Fim]]="","",(FManutencao[[#This Row],[Data Fim]]+FManutencao[[#This Row],[Hora Fim]])-(FManutencao[[#This Row],[Data Início]]+FManutencao[[#This Row],[Hora Início]])),"Data Fim errada")</f>
        <v>1.2499999997089617E-2</v>
      </c>
    </row>
    <row r="64" spans="2:11" hidden="1" x14ac:dyDescent="0.3">
      <c r="B64" s="2">
        <v>45964</v>
      </c>
      <c r="C64" s="7">
        <v>0.8256944444444444</v>
      </c>
      <c r="D64" s="3" t="s">
        <v>26</v>
      </c>
      <c r="E64" s="3">
        <v>2</v>
      </c>
      <c r="F64" s="3" t="s">
        <v>20</v>
      </c>
      <c r="G64" s="3" t="s">
        <v>21</v>
      </c>
      <c r="H64" s="3" t="s">
        <v>35</v>
      </c>
      <c r="I64" s="2">
        <v>45964</v>
      </c>
      <c r="J64" s="7">
        <v>0.85555555555555551</v>
      </c>
      <c r="K64" s="12">
        <f>IFERROR(IF(FManutencao[[#This Row],[Hora Fim]]="","",(FManutencao[[#This Row],[Data Fim]]+FManutencao[[#This Row],[Hora Fim]])-(FManutencao[[#This Row],[Data Início]]+FManutencao[[#This Row],[Hora Início]])),"Data Fim errada")</f>
        <v>2.9861111113859806E-2</v>
      </c>
    </row>
    <row r="65" spans="2:11" hidden="1" x14ac:dyDescent="0.3">
      <c r="B65" s="2">
        <v>45964</v>
      </c>
      <c r="C65" s="7">
        <v>0.92083333333333328</v>
      </c>
      <c r="D65" s="3" t="s">
        <v>26</v>
      </c>
      <c r="E65" s="3">
        <v>2</v>
      </c>
      <c r="F65" s="3" t="s">
        <v>20</v>
      </c>
      <c r="G65" s="3" t="s">
        <v>21</v>
      </c>
      <c r="H65" s="3" t="s">
        <v>36</v>
      </c>
      <c r="I65" s="2">
        <v>45964</v>
      </c>
      <c r="J65" s="7">
        <v>0.92638888888888893</v>
      </c>
      <c r="K65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66" spans="2:11" hidden="1" x14ac:dyDescent="0.3">
      <c r="B66" s="2">
        <v>45964</v>
      </c>
      <c r="C66" s="7">
        <v>0.98124999999999996</v>
      </c>
      <c r="D66" s="3" t="s">
        <v>26</v>
      </c>
      <c r="E66" s="3">
        <v>2</v>
      </c>
      <c r="F66" s="3" t="s">
        <v>20</v>
      </c>
      <c r="G66" s="3" t="s">
        <v>21</v>
      </c>
      <c r="H66" s="3" t="s">
        <v>36</v>
      </c>
      <c r="I66" s="2">
        <v>45964</v>
      </c>
      <c r="J66" s="7">
        <v>0.9868055555555556</v>
      </c>
      <c r="K66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67" spans="2:11" hidden="1" x14ac:dyDescent="0.3">
      <c r="B67" s="2">
        <v>45964</v>
      </c>
      <c r="C67" s="7">
        <v>6.25E-2</v>
      </c>
      <c r="D67" s="3" t="s">
        <v>26</v>
      </c>
      <c r="E67" s="3">
        <v>2</v>
      </c>
      <c r="F67" s="3" t="s">
        <v>20</v>
      </c>
      <c r="G67" s="3" t="s">
        <v>21</v>
      </c>
      <c r="H67" s="3" t="s">
        <v>37</v>
      </c>
      <c r="I67" s="2">
        <v>45964</v>
      </c>
      <c r="J67" s="7">
        <v>0.15277777777777779</v>
      </c>
      <c r="K67" s="12">
        <f>IFERROR(IF(FManutencao[[#This Row],[Hora Fim]]="","",(FManutencao[[#This Row],[Data Fim]]+FManutencao[[#This Row],[Hora Fim]])-(FManutencao[[#This Row],[Data Início]]+FManutencao[[#This Row],[Hora Início]])),"Data Fim errada")</f>
        <v>9.0277777781011537E-2</v>
      </c>
    </row>
    <row r="68" spans="2:11" hidden="1" x14ac:dyDescent="0.3">
      <c r="B68" s="2">
        <v>45964</v>
      </c>
      <c r="C68" s="7">
        <v>6.6666666666666666E-2</v>
      </c>
      <c r="D68" s="3" t="s">
        <v>26</v>
      </c>
      <c r="E68" s="3">
        <v>2</v>
      </c>
      <c r="F68" s="3" t="s">
        <v>20</v>
      </c>
      <c r="G68" s="3" t="s">
        <v>21</v>
      </c>
      <c r="H68" s="3" t="s">
        <v>36</v>
      </c>
      <c r="I68" s="2">
        <v>45964</v>
      </c>
      <c r="J68" s="7">
        <v>6.8750000000000006E-2</v>
      </c>
      <c r="K68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69" spans="2:11" hidden="1" x14ac:dyDescent="0.3">
      <c r="B69" s="2">
        <v>45964</v>
      </c>
      <c r="C69" s="7">
        <v>7.0833333333333331E-2</v>
      </c>
      <c r="D69" s="3" t="s">
        <v>26</v>
      </c>
      <c r="E69" s="3">
        <v>2</v>
      </c>
      <c r="F69" s="3" t="s">
        <v>20</v>
      </c>
      <c r="G69" s="3" t="s">
        <v>21</v>
      </c>
      <c r="H69" s="3" t="s">
        <v>36</v>
      </c>
      <c r="I69" s="2">
        <v>45964</v>
      </c>
      <c r="J69" s="7">
        <v>7.2916666666666671E-2</v>
      </c>
      <c r="K69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70" spans="2:11" hidden="1" x14ac:dyDescent="0.3">
      <c r="B70" s="2">
        <v>45964</v>
      </c>
      <c r="C70" s="7">
        <v>8.4027777777777785E-2</v>
      </c>
      <c r="D70" s="3" t="s">
        <v>26</v>
      </c>
      <c r="E70" s="3">
        <v>2</v>
      </c>
      <c r="F70" s="3" t="s">
        <v>20</v>
      </c>
      <c r="G70" s="3" t="s">
        <v>21</v>
      </c>
      <c r="H70" s="3" t="s">
        <v>36</v>
      </c>
      <c r="I70" s="2">
        <v>45964</v>
      </c>
      <c r="J70" s="7">
        <v>8.611111111111111E-2</v>
      </c>
      <c r="K70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71" spans="2:11" hidden="1" x14ac:dyDescent="0.3">
      <c r="B71" s="2">
        <v>45964</v>
      </c>
      <c r="C71" s="7">
        <v>0.80208333333333337</v>
      </c>
      <c r="D71" s="3" t="s">
        <v>27</v>
      </c>
      <c r="E71" s="3">
        <v>2</v>
      </c>
      <c r="F71" s="3" t="s">
        <v>20</v>
      </c>
      <c r="G71" s="3" t="s">
        <v>21</v>
      </c>
      <c r="H71" s="3" t="s">
        <v>35</v>
      </c>
      <c r="I71" s="2">
        <v>45964</v>
      </c>
      <c r="J71" s="7">
        <v>0.81458333333333333</v>
      </c>
      <c r="K71" s="12">
        <f>IFERROR(IF(FManutencao[[#This Row],[Hora Fim]]="","",(FManutencao[[#This Row],[Data Fim]]+FManutencao[[#This Row],[Hora Fim]])-(FManutencao[[#This Row],[Data Início]]+FManutencao[[#This Row],[Hora Início]])),"Data Fim errada")</f>
        <v>1.2499999997089617E-2</v>
      </c>
    </row>
    <row r="72" spans="2:11" hidden="1" x14ac:dyDescent="0.3">
      <c r="B72" s="2">
        <v>45964</v>
      </c>
      <c r="C72" s="7">
        <v>0.8256944444444444</v>
      </c>
      <c r="D72" s="3" t="s">
        <v>27</v>
      </c>
      <c r="E72" s="3">
        <v>2</v>
      </c>
      <c r="F72" s="3" t="s">
        <v>20</v>
      </c>
      <c r="G72" s="3" t="s">
        <v>21</v>
      </c>
      <c r="H72" s="3" t="s">
        <v>35</v>
      </c>
      <c r="I72" s="2">
        <v>45964</v>
      </c>
      <c r="J72" s="7">
        <v>0.85555555555555551</v>
      </c>
      <c r="K72" s="12">
        <f>IFERROR(IF(FManutencao[[#This Row],[Hora Fim]]="","",(FManutencao[[#This Row],[Data Fim]]+FManutencao[[#This Row],[Hora Fim]])-(FManutencao[[#This Row],[Data Início]]+FManutencao[[#This Row],[Hora Início]])),"Data Fim errada")</f>
        <v>2.9861111113859806E-2</v>
      </c>
    </row>
    <row r="73" spans="2:11" hidden="1" x14ac:dyDescent="0.3">
      <c r="B73" s="2">
        <v>45964</v>
      </c>
      <c r="C73" s="7">
        <v>0.92083333333333328</v>
      </c>
      <c r="D73" s="3" t="s">
        <v>27</v>
      </c>
      <c r="E73" s="3">
        <v>2</v>
      </c>
      <c r="F73" s="3" t="s">
        <v>20</v>
      </c>
      <c r="G73" s="3" t="s">
        <v>21</v>
      </c>
      <c r="H73" s="3" t="s">
        <v>36</v>
      </c>
      <c r="I73" s="2">
        <v>45964</v>
      </c>
      <c r="J73" s="7">
        <v>0.92638888888888893</v>
      </c>
      <c r="K73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74" spans="2:11" hidden="1" x14ac:dyDescent="0.3">
      <c r="B74" s="2">
        <v>45964</v>
      </c>
      <c r="C74" s="7">
        <v>0.98124999999999996</v>
      </c>
      <c r="D74" s="3" t="s">
        <v>27</v>
      </c>
      <c r="E74" s="3">
        <v>2</v>
      </c>
      <c r="F74" s="3" t="s">
        <v>20</v>
      </c>
      <c r="G74" s="3" t="s">
        <v>21</v>
      </c>
      <c r="H74" s="3" t="s">
        <v>36</v>
      </c>
      <c r="I74" s="2">
        <v>45964</v>
      </c>
      <c r="J74" s="7">
        <v>0.9868055555555556</v>
      </c>
      <c r="K74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75" spans="2:11" hidden="1" x14ac:dyDescent="0.3">
      <c r="B75" s="2">
        <v>45964</v>
      </c>
      <c r="C75" s="7">
        <v>6.25E-2</v>
      </c>
      <c r="D75" s="3" t="s">
        <v>27</v>
      </c>
      <c r="E75" s="3">
        <v>2</v>
      </c>
      <c r="F75" s="3" t="s">
        <v>20</v>
      </c>
      <c r="G75" s="3" t="s">
        <v>29</v>
      </c>
      <c r="H75" s="3" t="s">
        <v>37</v>
      </c>
      <c r="I75" s="2">
        <v>45964</v>
      </c>
      <c r="J75" s="7">
        <v>0.15277777777777779</v>
      </c>
      <c r="K75" s="12">
        <f>IFERROR(IF(FManutencao[[#This Row],[Hora Fim]]="","",(FManutencao[[#This Row],[Data Fim]]+FManutencao[[#This Row],[Hora Fim]])-(FManutencao[[#This Row],[Data Início]]+FManutencao[[#This Row],[Hora Início]])),"Data Fim errada")</f>
        <v>9.0277777781011537E-2</v>
      </c>
    </row>
    <row r="76" spans="2:11" hidden="1" x14ac:dyDescent="0.3">
      <c r="B76" s="2">
        <v>45964</v>
      </c>
      <c r="C76" s="7">
        <v>6.6666666666666666E-2</v>
      </c>
      <c r="D76" s="3" t="s">
        <v>27</v>
      </c>
      <c r="E76" s="3">
        <v>2</v>
      </c>
      <c r="F76" s="3" t="s">
        <v>20</v>
      </c>
      <c r="G76" s="3" t="s">
        <v>21</v>
      </c>
      <c r="H76" s="3" t="s">
        <v>36</v>
      </c>
      <c r="I76" s="2">
        <v>45964</v>
      </c>
      <c r="J76" s="7">
        <v>6.8750000000000006E-2</v>
      </c>
      <c r="K76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77" spans="2:11" hidden="1" x14ac:dyDescent="0.3">
      <c r="B77" s="2">
        <v>45964</v>
      </c>
      <c r="C77" s="7">
        <v>7.0833333333333331E-2</v>
      </c>
      <c r="D77" s="3" t="s">
        <v>27</v>
      </c>
      <c r="E77" s="3">
        <v>2</v>
      </c>
      <c r="F77" s="3" t="s">
        <v>20</v>
      </c>
      <c r="G77" s="3" t="s">
        <v>21</v>
      </c>
      <c r="H77" s="3" t="s">
        <v>36</v>
      </c>
      <c r="I77" s="2">
        <v>45964</v>
      </c>
      <c r="J77" s="7">
        <v>7.2916666666666671E-2</v>
      </c>
      <c r="K77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78" spans="2:11" hidden="1" x14ac:dyDescent="0.3">
      <c r="B78" s="2">
        <v>45964</v>
      </c>
      <c r="C78" s="7">
        <v>8.4027777777777785E-2</v>
      </c>
      <c r="D78" s="3" t="s">
        <v>27</v>
      </c>
      <c r="E78" s="3">
        <v>2</v>
      </c>
      <c r="F78" s="3" t="s">
        <v>20</v>
      </c>
      <c r="G78" s="3" t="s">
        <v>21</v>
      </c>
      <c r="H78" s="3" t="s">
        <v>36</v>
      </c>
      <c r="I78" s="2">
        <v>45964</v>
      </c>
      <c r="J78" s="7">
        <v>8.611111111111111E-2</v>
      </c>
      <c r="K78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79" spans="2:11" hidden="1" x14ac:dyDescent="0.3">
      <c r="B79" s="2">
        <v>45964</v>
      </c>
      <c r="C79" s="7">
        <v>0.80208333333333337</v>
      </c>
      <c r="D79" s="3" t="s">
        <v>28</v>
      </c>
      <c r="E79" s="3">
        <v>2</v>
      </c>
      <c r="F79" s="3" t="s">
        <v>20</v>
      </c>
      <c r="G79" s="3" t="s">
        <v>21</v>
      </c>
      <c r="H79" s="3" t="s">
        <v>35</v>
      </c>
      <c r="I79" s="2">
        <v>45964</v>
      </c>
      <c r="J79" s="7">
        <v>0.81458333333333333</v>
      </c>
      <c r="K79" s="12">
        <f>IFERROR(IF(FManutencao[[#This Row],[Hora Fim]]="","",(FManutencao[[#This Row],[Data Fim]]+FManutencao[[#This Row],[Hora Fim]])-(FManutencao[[#This Row],[Data Início]]+FManutencao[[#This Row],[Hora Início]])),"Data Fim errada")</f>
        <v>1.2499999997089617E-2</v>
      </c>
    </row>
    <row r="80" spans="2:11" hidden="1" x14ac:dyDescent="0.3">
      <c r="B80" s="2">
        <v>45964</v>
      </c>
      <c r="C80" s="7">
        <v>0.8256944444444444</v>
      </c>
      <c r="D80" s="3" t="s">
        <v>28</v>
      </c>
      <c r="E80" s="3">
        <v>2</v>
      </c>
      <c r="F80" s="3" t="s">
        <v>20</v>
      </c>
      <c r="G80" s="3" t="s">
        <v>21</v>
      </c>
      <c r="H80" s="3" t="s">
        <v>35</v>
      </c>
      <c r="I80" s="2">
        <v>45964</v>
      </c>
      <c r="J80" s="7">
        <v>0.85555555555555551</v>
      </c>
      <c r="K80" s="12">
        <f>IFERROR(IF(FManutencao[[#This Row],[Hora Fim]]="","",(FManutencao[[#This Row],[Data Fim]]+FManutencao[[#This Row],[Hora Fim]])-(FManutencao[[#This Row],[Data Início]]+FManutencao[[#This Row],[Hora Início]])),"Data Fim errada")</f>
        <v>2.9861111113859806E-2</v>
      </c>
    </row>
    <row r="81" spans="2:11" hidden="1" x14ac:dyDescent="0.3">
      <c r="B81" s="2">
        <v>45964</v>
      </c>
      <c r="C81" s="7">
        <v>0.92083333333333328</v>
      </c>
      <c r="D81" s="3" t="s">
        <v>28</v>
      </c>
      <c r="E81" s="3">
        <v>2</v>
      </c>
      <c r="F81" s="3" t="s">
        <v>20</v>
      </c>
      <c r="G81" s="3" t="s">
        <v>21</v>
      </c>
      <c r="H81" s="3" t="s">
        <v>36</v>
      </c>
      <c r="I81" s="2">
        <v>45964</v>
      </c>
      <c r="J81" s="7">
        <v>0.92638888888888893</v>
      </c>
      <c r="K81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82" spans="2:11" hidden="1" x14ac:dyDescent="0.3">
      <c r="B82" s="2">
        <v>45964</v>
      </c>
      <c r="C82" s="7">
        <v>0.98124999999999996</v>
      </c>
      <c r="D82" s="3" t="s">
        <v>28</v>
      </c>
      <c r="E82" s="3">
        <v>2</v>
      </c>
      <c r="F82" s="3" t="s">
        <v>20</v>
      </c>
      <c r="G82" s="3" t="s">
        <v>21</v>
      </c>
      <c r="H82" s="3" t="s">
        <v>36</v>
      </c>
      <c r="I82" s="2">
        <v>45964</v>
      </c>
      <c r="J82" s="7">
        <v>0.9868055555555556</v>
      </c>
      <c r="K82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83" spans="2:11" hidden="1" x14ac:dyDescent="0.3">
      <c r="B83" s="2">
        <v>45964</v>
      </c>
      <c r="C83" s="7">
        <v>6.25E-2</v>
      </c>
      <c r="D83" s="3" t="s">
        <v>28</v>
      </c>
      <c r="E83" s="3">
        <v>2</v>
      </c>
      <c r="F83" s="3" t="s">
        <v>20</v>
      </c>
      <c r="G83" s="3" t="s">
        <v>21</v>
      </c>
      <c r="H83" s="3" t="s">
        <v>37</v>
      </c>
      <c r="I83" s="2">
        <v>45964</v>
      </c>
      <c r="J83" s="7">
        <v>0.15277777777777779</v>
      </c>
      <c r="K83" s="12">
        <f>IFERROR(IF(FManutencao[[#This Row],[Hora Fim]]="","",(FManutencao[[#This Row],[Data Fim]]+FManutencao[[#This Row],[Hora Fim]])-(FManutencao[[#This Row],[Data Início]]+FManutencao[[#This Row],[Hora Início]])),"Data Fim errada")</f>
        <v>9.0277777781011537E-2</v>
      </c>
    </row>
    <row r="84" spans="2:11" hidden="1" x14ac:dyDescent="0.3">
      <c r="B84" s="2">
        <v>45964</v>
      </c>
      <c r="C84" s="7">
        <v>6.6666666666666666E-2</v>
      </c>
      <c r="D84" s="3" t="s">
        <v>28</v>
      </c>
      <c r="E84" s="3">
        <v>2</v>
      </c>
      <c r="F84" s="3" t="s">
        <v>20</v>
      </c>
      <c r="G84" s="3" t="s">
        <v>21</v>
      </c>
      <c r="H84" s="3" t="s">
        <v>36</v>
      </c>
      <c r="I84" s="2">
        <v>45964</v>
      </c>
      <c r="J84" s="7">
        <v>6.8750000000000006E-2</v>
      </c>
      <c r="K84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85" spans="2:11" hidden="1" x14ac:dyDescent="0.3">
      <c r="B85" s="2">
        <v>45964</v>
      </c>
      <c r="C85" s="7">
        <v>7.0833333333333331E-2</v>
      </c>
      <c r="D85" s="3" t="s">
        <v>28</v>
      </c>
      <c r="E85" s="3">
        <v>2</v>
      </c>
      <c r="F85" s="3" t="s">
        <v>20</v>
      </c>
      <c r="G85" s="3" t="s">
        <v>21</v>
      </c>
      <c r="H85" s="3" t="s">
        <v>36</v>
      </c>
      <c r="I85" s="2">
        <v>45964</v>
      </c>
      <c r="J85" s="7">
        <v>7.2916666666666671E-2</v>
      </c>
      <c r="K85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86" spans="2:11" hidden="1" x14ac:dyDescent="0.3">
      <c r="B86" s="2">
        <v>45964</v>
      </c>
      <c r="C86" s="7">
        <v>8.4027777777777785E-2</v>
      </c>
      <c r="D86" s="3" t="s">
        <v>28</v>
      </c>
      <c r="E86" s="3">
        <v>2</v>
      </c>
      <c r="F86" s="3" t="s">
        <v>20</v>
      </c>
      <c r="G86" s="3" t="s">
        <v>21</v>
      </c>
      <c r="H86" s="3" t="s">
        <v>36</v>
      </c>
      <c r="I86" s="2">
        <v>45964</v>
      </c>
      <c r="J86" s="7">
        <v>8.611111111111111E-2</v>
      </c>
      <c r="K86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87" spans="2:11" hidden="1" x14ac:dyDescent="0.3">
      <c r="B87" s="2">
        <v>45965</v>
      </c>
      <c r="C87" s="7">
        <v>0.29791666666666666</v>
      </c>
      <c r="D87" s="3" t="s">
        <v>19</v>
      </c>
      <c r="E87" s="3">
        <v>1</v>
      </c>
      <c r="F87" s="3" t="s">
        <v>24</v>
      </c>
      <c r="G87" s="3" t="s">
        <v>21</v>
      </c>
      <c r="H87" s="3" t="s">
        <v>38</v>
      </c>
      <c r="I87" s="2">
        <v>45965</v>
      </c>
      <c r="J87" s="7">
        <v>0.49027777777777776</v>
      </c>
      <c r="K87" s="12">
        <f>IFERROR(IF(FManutencao[[#This Row],[Hora Fim]]="","",(FManutencao[[#This Row],[Data Fim]]+FManutencao[[#This Row],[Hora Fim]])-(FManutencao[[#This Row],[Data Início]]+FManutencao[[#This Row],[Hora Início]])),"Data Fim errada")</f>
        <v>0.19236111110512866</v>
      </c>
    </row>
    <row r="88" spans="2:11" hidden="1" x14ac:dyDescent="0.3">
      <c r="B88" s="2">
        <v>45965</v>
      </c>
      <c r="C88" s="7">
        <v>0.75972222222222219</v>
      </c>
      <c r="D88" s="3" t="s">
        <v>19</v>
      </c>
      <c r="E88" s="3">
        <v>1</v>
      </c>
      <c r="F88" s="3" t="s">
        <v>20</v>
      </c>
      <c r="G88" s="3" t="s">
        <v>21</v>
      </c>
      <c r="H88" s="3" t="s">
        <v>22</v>
      </c>
      <c r="I88" s="2">
        <v>45965</v>
      </c>
      <c r="J88" s="7">
        <v>0.76597222222222228</v>
      </c>
      <c r="K88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89" spans="2:11" hidden="1" x14ac:dyDescent="0.3">
      <c r="B89" s="2">
        <v>45965</v>
      </c>
      <c r="C89" s="7">
        <v>0.29791666666666666</v>
      </c>
      <c r="D89" s="3" t="s">
        <v>26</v>
      </c>
      <c r="E89" s="3">
        <v>1</v>
      </c>
      <c r="F89" s="3" t="s">
        <v>24</v>
      </c>
      <c r="G89" s="3" t="s">
        <v>21</v>
      </c>
      <c r="H89" s="3" t="s">
        <v>38</v>
      </c>
      <c r="I89" s="2">
        <v>45965</v>
      </c>
      <c r="J89" s="7">
        <v>0.49027777777777776</v>
      </c>
      <c r="K89" s="12">
        <f>IFERROR(IF(FManutencao[[#This Row],[Hora Fim]]="","",(FManutencao[[#This Row],[Data Fim]]+FManutencao[[#This Row],[Hora Fim]])-(FManutencao[[#This Row],[Data Início]]+FManutencao[[#This Row],[Hora Início]])),"Data Fim errada")</f>
        <v>0.19236111110512866</v>
      </c>
    </row>
    <row r="90" spans="2:11" hidden="1" x14ac:dyDescent="0.3">
      <c r="B90" s="2">
        <v>45965</v>
      </c>
      <c r="C90" s="7">
        <v>0.75972222222222219</v>
      </c>
      <c r="D90" s="3" t="s">
        <v>26</v>
      </c>
      <c r="E90" s="3">
        <v>1</v>
      </c>
      <c r="F90" s="3" t="s">
        <v>20</v>
      </c>
      <c r="G90" s="3" t="s">
        <v>21</v>
      </c>
      <c r="H90" s="3" t="s">
        <v>22</v>
      </c>
      <c r="I90" s="2">
        <v>45965</v>
      </c>
      <c r="J90" s="7">
        <v>0.76597222222222228</v>
      </c>
      <c r="K90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91" spans="2:11" hidden="1" x14ac:dyDescent="0.3">
      <c r="B91" s="2">
        <v>45965</v>
      </c>
      <c r="C91" s="7">
        <v>0.29791666666666666</v>
      </c>
      <c r="D91" s="3" t="s">
        <v>27</v>
      </c>
      <c r="E91" s="3">
        <v>1</v>
      </c>
      <c r="F91" s="3" t="s">
        <v>24</v>
      </c>
      <c r="G91" s="3" t="s">
        <v>29</v>
      </c>
      <c r="H91" s="3" t="s">
        <v>38</v>
      </c>
      <c r="I91" s="2">
        <v>45965</v>
      </c>
      <c r="J91" s="7">
        <v>0.49027777777777776</v>
      </c>
      <c r="K91" s="12">
        <f>IFERROR(IF(FManutencao[[#This Row],[Hora Fim]]="","",(FManutencao[[#This Row],[Data Fim]]+FManutencao[[#This Row],[Hora Fim]])-(FManutencao[[#This Row],[Data Início]]+FManutencao[[#This Row],[Hora Início]])),"Data Fim errada")</f>
        <v>0.19236111110512866</v>
      </c>
    </row>
    <row r="92" spans="2:11" hidden="1" x14ac:dyDescent="0.3">
      <c r="B92" s="2">
        <v>45965</v>
      </c>
      <c r="C92" s="7">
        <v>0.75972222222222219</v>
      </c>
      <c r="D92" s="3" t="s">
        <v>27</v>
      </c>
      <c r="E92" s="3">
        <v>1</v>
      </c>
      <c r="F92" s="3" t="s">
        <v>20</v>
      </c>
      <c r="G92" s="3" t="s">
        <v>21</v>
      </c>
      <c r="H92" s="3" t="s">
        <v>22</v>
      </c>
      <c r="I92" s="2">
        <v>45965</v>
      </c>
      <c r="J92" s="7">
        <v>0.76597222222222228</v>
      </c>
      <c r="K92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93" spans="2:11" hidden="1" x14ac:dyDescent="0.3">
      <c r="B93" s="2">
        <v>45965</v>
      </c>
      <c r="C93" s="7">
        <v>0.29791666666666666</v>
      </c>
      <c r="D93" s="3" t="s">
        <v>28</v>
      </c>
      <c r="E93" s="3">
        <v>1</v>
      </c>
      <c r="F93" s="3" t="s">
        <v>24</v>
      </c>
      <c r="G93" s="3" t="s">
        <v>21</v>
      </c>
      <c r="H93" s="3" t="s">
        <v>38</v>
      </c>
      <c r="I93" s="2">
        <v>45965</v>
      </c>
      <c r="J93" s="7">
        <v>0.49027777777777776</v>
      </c>
      <c r="K93" s="12">
        <f>IFERROR(IF(FManutencao[[#This Row],[Hora Fim]]="","",(FManutencao[[#This Row],[Data Fim]]+FManutencao[[#This Row],[Hora Fim]])-(FManutencao[[#This Row],[Data Início]]+FManutencao[[#This Row],[Hora Início]])),"Data Fim errada")</f>
        <v>0.19236111110512866</v>
      </c>
    </row>
    <row r="94" spans="2:11" hidden="1" x14ac:dyDescent="0.3">
      <c r="B94" s="2">
        <v>45965</v>
      </c>
      <c r="C94" s="7">
        <v>0.75972222222222219</v>
      </c>
      <c r="D94" s="3" t="s">
        <v>28</v>
      </c>
      <c r="E94" s="3">
        <v>1</v>
      </c>
      <c r="F94" s="3" t="s">
        <v>20</v>
      </c>
      <c r="G94" s="3" t="s">
        <v>21</v>
      </c>
      <c r="H94" s="3" t="s">
        <v>22</v>
      </c>
      <c r="I94" s="2">
        <v>45965</v>
      </c>
      <c r="J94" s="7">
        <v>0.76597222222222228</v>
      </c>
      <c r="K94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95" spans="2:11" hidden="1" x14ac:dyDescent="0.3">
      <c r="B95" s="2">
        <v>45965</v>
      </c>
      <c r="C95" s="7">
        <v>0.87152777777777779</v>
      </c>
      <c r="D95" s="3" t="s">
        <v>19</v>
      </c>
      <c r="E95" s="3">
        <v>2</v>
      </c>
      <c r="F95" s="3" t="s">
        <v>20</v>
      </c>
      <c r="G95" s="3" t="s">
        <v>21</v>
      </c>
      <c r="H95" s="3" t="s">
        <v>39</v>
      </c>
      <c r="I95" s="2">
        <v>45965</v>
      </c>
      <c r="J95" s="7">
        <v>0.88263888888888886</v>
      </c>
      <c r="K95" s="12">
        <f>IFERROR(IF(FManutencao[[#This Row],[Hora Fim]]="","",(FManutencao[[#This Row],[Data Fim]]+FManutencao[[#This Row],[Hora Fim]])-(FManutencao[[#This Row],[Data Início]]+FManutencao[[#This Row],[Hora Início]])),"Data Fim errada")</f>
        <v>1.1111111110949423E-2</v>
      </c>
    </row>
    <row r="96" spans="2:11" hidden="1" x14ac:dyDescent="0.3">
      <c r="B96" s="2">
        <v>45965</v>
      </c>
      <c r="C96" s="7">
        <v>0.87638888888888888</v>
      </c>
      <c r="D96" s="3" t="s">
        <v>19</v>
      </c>
      <c r="E96" s="3">
        <v>2</v>
      </c>
      <c r="F96" s="3" t="s">
        <v>20</v>
      </c>
      <c r="G96" s="3" t="s">
        <v>21</v>
      </c>
      <c r="H96" s="3" t="s">
        <v>36</v>
      </c>
      <c r="I96" s="2">
        <v>45965</v>
      </c>
      <c r="J96" s="7">
        <v>0.87986111111111109</v>
      </c>
      <c r="K96" s="12">
        <f>IFERROR(IF(FManutencao[[#This Row],[Hora Fim]]="","",(FManutencao[[#This Row],[Data Fim]]+FManutencao[[#This Row],[Hora Fim]])-(FManutencao[[#This Row],[Data Início]]+FManutencao[[#This Row],[Hora Início]])),"Data Fim errada")</f>
        <v>3.4722222262644209E-3</v>
      </c>
    </row>
    <row r="97" spans="2:11" hidden="1" x14ac:dyDescent="0.3">
      <c r="B97" s="2">
        <v>45965</v>
      </c>
      <c r="C97" s="7">
        <v>0.88611111111111107</v>
      </c>
      <c r="D97" s="3" t="s">
        <v>19</v>
      </c>
      <c r="E97" s="3">
        <v>2</v>
      </c>
      <c r="F97" s="3" t="s">
        <v>20</v>
      </c>
      <c r="G97" s="3" t="s">
        <v>21</v>
      </c>
      <c r="H97" s="3" t="s">
        <v>40</v>
      </c>
      <c r="I97" s="2">
        <v>45965</v>
      </c>
      <c r="J97" s="7">
        <v>0.8979166666666667</v>
      </c>
      <c r="K97" s="12">
        <f>IFERROR(IF(FManutencao[[#This Row],[Hora Fim]]="","",(FManutencao[[#This Row],[Data Fim]]+FManutencao[[#This Row],[Hora Fim]])-(FManutencao[[#This Row],[Data Início]]+FManutencao[[#This Row],[Hora Início]])),"Data Fim errada")</f>
        <v>1.1805555557657499E-2</v>
      </c>
    </row>
    <row r="98" spans="2:11" hidden="1" x14ac:dyDescent="0.3">
      <c r="B98" s="2">
        <v>45965</v>
      </c>
      <c r="C98" s="7">
        <v>0.90486111111111112</v>
      </c>
      <c r="D98" s="3" t="s">
        <v>19</v>
      </c>
      <c r="E98" s="3">
        <v>2</v>
      </c>
      <c r="F98" s="3" t="s">
        <v>24</v>
      </c>
      <c r="G98" s="3" t="s">
        <v>21</v>
      </c>
      <c r="H98" s="3" t="s">
        <v>41</v>
      </c>
      <c r="I98" s="2">
        <v>45965</v>
      </c>
      <c r="J98" s="7">
        <v>0.92638888888888893</v>
      </c>
      <c r="K98" s="12">
        <f>IFERROR(IF(FManutencao[[#This Row],[Hora Fim]]="","",(FManutencao[[#This Row],[Data Fim]]+FManutencao[[#This Row],[Hora Fim]])-(FManutencao[[#This Row],[Data Início]]+FManutencao[[#This Row],[Hora Início]])),"Data Fim errada")</f>
        <v>2.1527777775190771E-2</v>
      </c>
    </row>
    <row r="99" spans="2:11" hidden="1" x14ac:dyDescent="0.3">
      <c r="B99" s="2">
        <v>45965</v>
      </c>
      <c r="C99" s="7">
        <v>0.95972222222222225</v>
      </c>
      <c r="D99" s="3" t="s">
        <v>19</v>
      </c>
      <c r="E99" s="3">
        <v>2</v>
      </c>
      <c r="F99" s="3" t="s">
        <v>20</v>
      </c>
      <c r="G99" s="3" t="s">
        <v>21</v>
      </c>
      <c r="H99" s="3" t="s">
        <v>36</v>
      </c>
      <c r="I99" s="2">
        <v>45965</v>
      </c>
      <c r="J99" s="7">
        <v>0.96527777777777779</v>
      </c>
      <c r="K99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100" spans="2:11" hidden="1" x14ac:dyDescent="0.3">
      <c r="B100" s="2">
        <v>45965</v>
      </c>
      <c r="C100" s="7">
        <v>3.888888888888889E-2</v>
      </c>
      <c r="D100" s="3" t="s">
        <v>19</v>
      </c>
      <c r="E100" s="3">
        <v>2</v>
      </c>
      <c r="F100" s="3" t="s">
        <v>20</v>
      </c>
      <c r="G100" s="3" t="s">
        <v>21</v>
      </c>
      <c r="H100" s="3" t="s">
        <v>36</v>
      </c>
      <c r="I100" s="2">
        <v>45965</v>
      </c>
      <c r="J100" s="7">
        <v>4.3055555555555555E-2</v>
      </c>
      <c r="K100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01" spans="2:11" hidden="1" x14ac:dyDescent="0.3">
      <c r="B101" s="2">
        <v>45965</v>
      </c>
      <c r="C101" s="7">
        <v>5.9722222222222225E-2</v>
      </c>
      <c r="D101" s="3" t="s">
        <v>19</v>
      </c>
      <c r="E101" s="3">
        <v>2</v>
      </c>
      <c r="F101" s="3" t="s">
        <v>20</v>
      </c>
      <c r="G101" s="3" t="s">
        <v>21</v>
      </c>
      <c r="H101" s="3" t="s">
        <v>36</v>
      </c>
      <c r="I101" s="2">
        <v>45965</v>
      </c>
      <c r="J101" s="7">
        <v>6.3888888888888884E-2</v>
      </c>
      <c r="K101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02" spans="2:11" hidden="1" x14ac:dyDescent="0.3">
      <c r="B102" s="2">
        <v>45965</v>
      </c>
      <c r="C102" s="7">
        <v>0.11458333333333333</v>
      </c>
      <c r="D102" s="3" t="s">
        <v>19</v>
      </c>
      <c r="E102" s="3">
        <v>2</v>
      </c>
      <c r="F102" s="3" t="s">
        <v>20</v>
      </c>
      <c r="G102" s="3" t="s">
        <v>21</v>
      </c>
      <c r="H102" s="3" t="s">
        <v>36</v>
      </c>
      <c r="I102" s="2">
        <v>45965</v>
      </c>
      <c r="J102" s="7">
        <v>0.11874999999999999</v>
      </c>
      <c r="K102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03" spans="2:11" hidden="1" x14ac:dyDescent="0.3">
      <c r="B103" s="2">
        <v>45965</v>
      </c>
      <c r="C103" s="7">
        <v>0.87152777777777779</v>
      </c>
      <c r="D103" s="3" t="s">
        <v>26</v>
      </c>
      <c r="E103" s="3">
        <v>2</v>
      </c>
      <c r="F103" s="3" t="s">
        <v>20</v>
      </c>
      <c r="G103" s="3" t="s">
        <v>21</v>
      </c>
      <c r="H103" s="3" t="s">
        <v>39</v>
      </c>
      <c r="I103" s="2">
        <v>45965</v>
      </c>
      <c r="J103" s="7">
        <v>0.88263888888888886</v>
      </c>
      <c r="K103" s="12">
        <f>IFERROR(IF(FManutencao[[#This Row],[Hora Fim]]="","",(FManutencao[[#This Row],[Data Fim]]+FManutencao[[#This Row],[Hora Fim]])-(FManutencao[[#This Row],[Data Início]]+FManutencao[[#This Row],[Hora Início]])),"Data Fim errada")</f>
        <v>1.1111111110949423E-2</v>
      </c>
    </row>
    <row r="104" spans="2:11" hidden="1" x14ac:dyDescent="0.3">
      <c r="B104" s="2">
        <v>45965</v>
      </c>
      <c r="C104" s="7">
        <v>0.87638888888888888</v>
      </c>
      <c r="D104" s="3" t="s">
        <v>26</v>
      </c>
      <c r="E104" s="3">
        <v>2</v>
      </c>
      <c r="F104" s="3" t="s">
        <v>20</v>
      </c>
      <c r="G104" s="3" t="s">
        <v>21</v>
      </c>
      <c r="H104" s="3" t="s">
        <v>36</v>
      </c>
      <c r="I104" s="2">
        <v>45965</v>
      </c>
      <c r="J104" s="7">
        <v>0.87986111111111109</v>
      </c>
      <c r="K104" s="12">
        <f>IFERROR(IF(FManutencao[[#This Row],[Hora Fim]]="","",(FManutencao[[#This Row],[Data Fim]]+FManutencao[[#This Row],[Hora Fim]])-(FManutencao[[#This Row],[Data Início]]+FManutencao[[#This Row],[Hora Início]])),"Data Fim errada")</f>
        <v>3.4722222262644209E-3</v>
      </c>
    </row>
    <row r="105" spans="2:11" hidden="1" x14ac:dyDescent="0.3">
      <c r="B105" s="2">
        <v>45965</v>
      </c>
      <c r="C105" s="7">
        <v>0.88611111111111107</v>
      </c>
      <c r="D105" s="3" t="s">
        <v>26</v>
      </c>
      <c r="E105" s="3">
        <v>2</v>
      </c>
      <c r="F105" s="3" t="s">
        <v>20</v>
      </c>
      <c r="G105" s="3" t="s">
        <v>21</v>
      </c>
      <c r="H105" s="3" t="s">
        <v>40</v>
      </c>
      <c r="I105" s="2">
        <v>45965</v>
      </c>
      <c r="J105" s="7">
        <v>0.8979166666666667</v>
      </c>
      <c r="K105" s="12">
        <f>IFERROR(IF(FManutencao[[#This Row],[Hora Fim]]="","",(FManutencao[[#This Row],[Data Fim]]+FManutencao[[#This Row],[Hora Fim]])-(FManutencao[[#This Row],[Data Início]]+FManutencao[[#This Row],[Hora Início]])),"Data Fim errada")</f>
        <v>1.1805555557657499E-2</v>
      </c>
    </row>
    <row r="106" spans="2:11" hidden="1" x14ac:dyDescent="0.3">
      <c r="B106" s="2">
        <v>45965</v>
      </c>
      <c r="C106" s="7">
        <v>0.90486111111111112</v>
      </c>
      <c r="D106" s="3" t="s">
        <v>26</v>
      </c>
      <c r="E106" s="3">
        <v>2</v>
      </c>
      <c r="F106" s="3" t="s">
        <v>24</v>
      </c>
      <c r="G106" s="3" t="s">
        <v>21</v>
      </c>
      <c r="H106" s="3" t="s">
        <v>41</v>
      </c>
      <c r="I106" s="2">
        <v>45965</v>
      </c>
      <c r="J106" s="7">
        <v>0.92638888888888893</v>
      </c>
      <c r="K106" s="12">
        <f>IFERROR(IF(FManutencao[[#This Row],[Hora Fim]]="","",(FManutencao[[#This Row],[Data Fim]]+FManutencao[[#This Row],[Hora Fim]])-(FManutencao[[#This Row],[Data Início]]+FManutencao[[#This Row],[Hora Início]])),"Data Fim errada")</f>
        <v>2.1527777775190771E-2</v>
      </c>
    </row>
    <row r="107" spans="2:11" hidden="1" x14ac:dyDescent="0.3">
      <c r="B107" s="2">
        <v>45965</v>
      </c>
      <c r="C107" s="7">
        <v>0.95972222222222225</v>
      </c>
      <c r="D107" s="3" t="s">
        <v>26</v>
      </c>
      <c r="E107" s="3">
        <v>2</v>
      </c>
      <c r="F107" s="3" t="s">
        <v>20</v>
      </c>
      <c r="G107" s="3" t="s">
        <v>21</v>
      </c>
      <c r="H107" s="3" t="s">
        <v>36</v>
      </c>
      <c r="I107" s="2">
        <v>45965</v>
      </c>
      <c r="J107" s="7">
        <v>0.96527777777777779</v>
      </c>
      <c r="K107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108" spans="2:11" hidden="1" x14ac:dyDescent="0.3">
      <c r="B108" s="2">
        <v>45965</v>
      </c>
      <c r="C108" s="7">
        <v>3.888888888888889E-2</v>
      </c>
      <c r="D108" s="3" t="s">
        <v>26</v>
      </c>
      <c r="E108" s="3">
        <v>2</v>
      </c>
      <c r="F108" s="3" t="s">
        <v>20</v>
      </c>
      <c r="G108" s="3" t="s">
        <v>21</v>
      </c>
      <c r="H108" s="3" t="s">
        <v>36</v>
      </c>
      <c r="I108" s="2">
        <v>45965</v>
      </c>
      <c r="J108" s="7">
        <v>4.3055555555555555E-2</v>
      </c>
      <c r="K108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09" spans="2:11" hidden="1" x14ac:dyDescent="0.3">
      <c r="B109" s="2">
        <v>45965</v>
      </c>
      <c r="C109" s="7">
        <v>5.9722222222222225E-2</v>
      </c>
      <c r="D109" s="3" t="s">
        <v>26</v>
      </c>
      <c r="E109" s="3">
        <v>2</v>
      </c>
      <c r="F109" s="3" t="s">
        <v>20</v>
      </c>
      <c r="G109" s="3" t="s">
        <v>21</v>
      </c>
      <c r="H109" s="3" t="s">
        <v>36</v>
      </c>
      <c r="I109" s="2">
        <v>45965</v>
      </c>
      <c r="J109" s="7">
        <v>6.3888888888888884E-2</v>
      </c>
      <c r="K109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10" spans="2:11" hidden="1" x14ac:dyDescent="0.3">
      <c r="B110" s="2">
        <v>45965</v>
      </c>
      <c r="C110" s="7">
        <v>0.11458333333333333</v>
      </c>
      <c r="D110" s="3" t="s">
        <v>26</v>
      </c>
      <c r="E110" s="3">
        <v>2</v>
      </c>
      <c r="F110" s="3" t="s">
        <v>20</v>
      </c>
      <c r="G110" s="3" t="s">
        <v>21</v>
      </c>
      <c r="H110" s="3" t="s">
        <v>36</v>
      </c>
      <c r="I110" s="2">
        <v>45965</v>
      </c>
      <c r="J110" s="7">
        <v>0.11874999999999999</v>
      </c>
      <c r="K110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11" spans="2:11" hidden="1" x14ac:dyDescent="0.3">
      <c r="B111" s="2">
        <v>45965</v>
      </c>
      <c r="C111" s="7">
        <v>0.87152777777777779</v>
      </c>
      <c r="D111" s="3" t="s">
        <v>27</v>
      </c>
      <c r="E111" s="3">
        <v>2</v>
      </c>
      <c r="F111" s="3" t="s">
        <v>20</v>
      </c>
      <c r="G111" s="3" t="s">
        <v>21</v>
      </c>
      <c r="H111" s="3" t="s">
        <v>39</v>
      </c>
      <c r="I111" s="2">
        <v>45965</v>
      </c>
      <c r="J111" s="7">
        <v>0.88263888888888886</v>
      </c>
      <c r="K111" s="12">
        <f>IFERROR(IF(FManutencao[[#This Row],[Hora Fim]]="","",(FManutencao[[#This Row],[Data Fim]]+FManutencao[[#This Row],[Hora Fim]])-(FManutencao[[#This Row],[Data Início]]+FManutencao[[#This Row],[Hora Início]])),"Data Fim errada")</f>
        <v>1.1111111110949423E-2</v>
      </c>
    </row>
    <row r="112" spans="2:11" hidden="1" x14ac:dyDescent="0.3">
      <c r="B112" s="2">
        <v>45965</v>
      </c>
      <c r="C112" s="7">
        <v>0.87638888888888888</v>
      </c>
      <c r="D112" s="3" t="s">
        <v>27</v>
      </c>
      <c r="E112" s="3">
        <v>2</v>
      </c>
      <c r="F112" s="3" t="s">
        <v>20</v>
      </c>
      <c r="G112" s="3" t="s">
        <v>21</v>
      </c>
      <c r="H112" s="3" t="s">
        <v>36</v>
      </c>
      <c r="I112" s="2">
        <v>45965</v>
      </c>
      <c r="J112" s="7">
        <v>0.87986111111111109</v>
      </c>
      <c r="K112" s="12">
        <f>IFERROR(IF(FManutencao[[#This Row],[Hora Fim]]="","",(FManutencao[[#This Row],[Data Fim]]+FManutencao[[#This Row],[Hora Fim]])-(FManutencao[[#This Row],[Data Início]]+FManutencao[[#This Row],[Hora Início]])),"Data Fim errada")</f>
        <v>3.4722222262644209E-3</v>
      </c>
    </row>
    <row r="113" spans="2:11" hidden="1" x14ac:dyDescent="0.3">
      <c r="B113" s="2">
        <v>45965</v>
      </c>
      <c r="C113" s="7">
        <v>0.88611111111111107</v>
      </c>
      <c r="D113" s="3" t="s">
        <v>27</v>
      </c>
      <c r="E113" s="3">
        <v>2</v>
      </c>
      <c r="F113" s="3" t="s">
        <v>20</v>
      </c>
      <c r="G113" s="3" t="s">
        <v>21</v>
      </c>
      <c r="H113" s="3" t="s">
        <v>40</v>
      </c>
      <c r="I113" s="2">
        <v>45965</v>
      </c>
      <c r="J113" s="7">
        <v>0.8979166666666667</v>
      </c>
      <c r="K113" s="12">
        <f>IFERROR(IF(FManutencao[[#This Row],[Hora Fim]]="","",(FManutencao[[#This Row],[Data Fim]]+FManutencao[[#This Row],[Hora Fim]])-(FManutencao[[#This Row],[Data Início]]+FManutencao[[#This Row],[Hora Início]])),"Data Fim errada")</f>
        <v>1.1805555557657499E-2</v>
      </c>
    </row>
    <row r="114" spans="2:11" hidden="1" x14ac:dyDescent="0.3">
      <c r="B114" s="2">
        <v>45965</v>
      </c>
      <c r="C114" s="7">
        <v>0.90486111111111112</v>
      </c>
      <c r="D114" s="3" t="s">
        <v>27</v>
      </c>
      <c r="E114" s="3">
        <v>2</v>
      </c>
      <c r="F114" s="3" t="s">
        <v>24</v>
      </c>
      <c r="G114" s="3" t="s">
        <v>21</v>
      </c>
      <c r="H114" s="3" t="s">
        <v>41</v>
      </c>
      <c r="I114" s="2">
        <v>45965</v>
      </c>
      <c r="J114" s="7">
        <v>0.92638888888888893</v>
      </c>
      <c r="K114" s="12">
        <f>IFERROR(IF(FManutencao[[#This Row],[Hora Fim]]="","",(FManutencao[[#This Row],[Data Fim]]+FManutencao[[#This Row],[Hora Fim]])-(FManutencao[[#This Row],[Data Início]]+FManutencao[[#This Row],[Hora Início]])),"Data Fim errada")</f>
        <v>2.1527777775190771E-2</v>
      </c>
    </row>
    <row r="115" spans="2:11" hidden="1" x14ac:dyDescent="0.3">
      <c r="B115" s="2">
        <v>45965</v>
      </c>
      <c r="C115" s="7">
        <v>0.95972222222222225</v>
      </c>
      <c r="D115" s="3" t="s">
        <v>27</v>
      </c>
      <c r="E115" s="3">
        <v>2</v>
      </c>
      <c r="F115" s="3" t="s">
        <v>20</v>
      </c>
      <c r="G115" s="3" t="s">
        <v>21</v>
      </c>
      <c r="H115" s="3" t="s">
        <v>36</v>
      </c>
      <c r="I115" s="2">
        <v>45965</v>
      </c>
      <c r="J115" s="7">
        <v>0.96527777777777779</v>
      </c>
      <c r="K115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116" spans="2:11" hidden="1" x14ac:dyDescent="0.3">
      <c r="B116" s="2">
        <v>45965</v>
      </c>
      <c r="C116" s="7">
        <v>3.888888888888889E-2</v>
      </c>
      <c r="D116" s="3" t="s">
        <v>27</v>
      </c>
      <c r="E116" s="3">
        <v>2</v>
      </c>
      <c r="F116" s="3" t="s">
        <v>20</v>
      </c>
      <c r="G116" s="3" t="s">
        <v>21</v>
      </c>
      <c r="H116" s="3" t="s">
        <v>36</v>
      </c>
      <c r="I116" s="2">
        <v>45965</v>
      </c>
      <c r="J116" s="7">
        <v>4.3055555555555555E-2</v>
      </c>
      <c r="K116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17" spans="2:11" hidden="1" x14ac:dyDescent="0.3">
      <c r="B117" s="2">
        <v>45965</v>
      </c>
      <c r="C117" s="7">
        <v>5.9722222222222225E-2</v>
      </c>
      <c r="D117" s="3" t="s">
        <v>27</v>
      </c>
      <c r="E117" s="3">
        <v>2</v>
      </c>
      <c r="F117" s="3" t="s">
        <v>20</v>
      </c>
      <c r="G117" s="3" t="s">
        <v>21</v>
      </c>
      <c r="H117" s="3" t="s">
        <v>36</v>
      </c>
      <c r="I117" s="2">
        <v>45965</v>
      </c>
      <c r="J117" s="7">
        <v>6.3888888888888884E-2</v>
      </c>
      <c r="K117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18" spans="2:11" hidden="1" x14ac:dyDescent="0.3">
      <c r="B118" s="2">
        <v>45965</v>
      </c>
      <c r="C118" s="7">
        <v>0.11458333333333333</v>
      </c>
      <c r="D118" s="3" t="s">
        <v>27</v>
      </c>
      <c r="E118" s="3">
        <v>2</v>
      </c>
      <c r="F118" s="3" t="s">
        <v>20</v>
      </c>
      <c r="G118" s="3" t="s">
        <v>21</v>
      </c>
      <c r="H118" s="3" t="s">
        <v>36</v>
      </c>
      <c r="I118" s="2">
        <v>45965</v>
      </c>
      <c r="J118" s="7">
        <v>0.11874999999999999</v>
      </c>
      <c r="K118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19" spans="2:11" hidden="1" x14ac:dyDescent="0.3">
      <c r="B119" s="2">
        <v>45965</v>
      </c>
      <c r="C119" s="7">
        <v>0.87152777777777779</v>
      </c>
      <c r="D119" s="3" t="s">
        <v>28</v>
      </c>
      <c r="E119" s="3">
        <v>2</v>
      </c>
      <c r="F119" s="3" t="s">
        <v>20</v>
      </c>
      <c r="G119" s="3" t="s">
        <v>29</v>
      </c>
      <c r="H119" s="3" t="s">
        <v>39</v>
      </c>
      <c r="I119" s="2">
        <v>45965</v>
      </c>
      <c r="J119" s="7">
        <v>0.88263888888888886</v>
      </c>
      <c r="K119" s="12">
        <f>IFERROR(IF(FManutencao[[#This Row],[Hora Fim]]="","",(FManutencao[[#This Row],[Data Fim]]+FManutencao[[#This Row],[Hora Fim]])-(FManutencao[[#This Row],[Data Início]]+FManutencao[[#This Row],[Hora Início]])),"Data Fim errada")</f>
        <v>1.1111111110949423E-2</v>
      </c>
    </row>
    <row r="120" spans="2:11" hidden="1" x14ac:dyDescent="0.3">
      <c r="B120" s="2">
        <v>45965</v>
      </c>
      <c r="C120" s="7">
        <v>0.87638888888888888</v>
      </c>
      <c r="D120" s="3" t="s">
        <v>28</v>
      </c>
      <c r="E120" s="3">
        <v>2</v>
      </c>
      <c r="F120" s="3" t="s">
        <v>20</v>
      </c>
      <c r="G120" s="3" t="s">
        <v>21</v>
      </c>
      <c r="H120" s="3" t="s">
        <v>36</v>
      </c>
      <c r="I120" s="2">
        <v>45965</v>
      </c>
      <c r="J120" s="7">
        <v>0.87986111111111109</v>
      </c>
      <c r="K120" s="12">
        <f>IFERROR(IF(FManutencao[[#This Row],[Hora Fim]]="","",(FManutencao[[#This Row],[Data Fim]]+FManutencao[[#This Row],[Hora Fim]])-(FManutencao[[#This Row],[Data Início]]+FManutencao[[#This Row],[Hora Início]])),"Data Fim errada")</f>
        <v>3.4722222262644209E-3</v>
      </c>
    </row>
    <row r="121" spans="2:11" hidden="1" x14ac:dyDescent="0.3">
      <c r="B121" s="2">
        <v>45965</v>
      </c>
      <c r="C121" s="7">
        <v>0.88611111111111107</v>
      </c>
      <c r="D121" s="3" t="s">
        <v>28</v>
      </c>
      <c r="E121" s="3">
        <v>2</v>
      </c>
      <c r="F121" s="3" t="s">
        <v>20</v>
      </c>
      <c r="G121" s="3" t="s">
        <v>21</v>
      </c>
      <c r="H121" s="3" t="s">
        <v>40</v>
      </c>
      <c r="I121" s="2">
        <v>45965</v>
      </c>
      <c r="J121" s="7">
        <v>0.8979166666666667</v>
      </c>
      <c r="K121" s="12">
        <f>IFERROR(IF(FManutencao[[#This Row],[Hora Fim]]="","",(FManutencao[[#This Row],[Data Fim]]+FManutencao[[#This Row],[Hora Fim]])-(FManutencao[[#This Row],[Data Início]]+FManutencao[[#This Row],[Hora Início]])),"Data Fim errada")</f>
        <v>1.1805555557657499E-2</v>
      </c>
    </row>
    <row r="122" spans="2:11" hidden="1" x14ac:dyDescent="0.3">
      <c r="B122" s="2">
        <v>45965</v>
      </c>
      <c r="C122" s="7">
        <v>0.90486111111111112</v>
      </c>
      <c r="D122" s="3" t="s">
        <v>28</v>
      </c>
      <c r="E122" s="3">
        <v>2</v>
      </c>
      <c r="F122" s="3" t="s">
        <v>24</v>
      </c>
      <c r="G122" s="3" t="s">
        <v>29</v>
      </c>
      <c r="H122" s="3" t="s">
        <v>41</v>
      </c>
      <c r="I122" s="2">
        <v>45965</v>
      </c>
      <c r="J122" s="7">
        <v>0.92638888888888893</v>
      </c>
      <c r="K122" s="12">
        <f>IFERROR(IF(FManutencao[[#This Row],[Hora Fim]]="","",(FManutencao[[#This Row],[Data Fim]]+FManutencao[[#This Row],[Hora Fim]])-(FManutencao[[#This Row],[Data Início]]+FManutencao[[#This Row],[Hora Início]])),"Data Fim errada")</f>
        <v>2.1527777775190771E-2</v>
      </c>
    </row>
    <row r="123" spans="2:11" hidden="1" x14ac:dyDescent="0.3">
      <c r="B123" s="2">
        <v>45965</v>
      </c>
      <c r="C123" s="7">
        <v>0.95972222222222225</v>
      </c>
      <c r="D123" s="3" t="s">
        <v>28</v>
      </c>
      <c r="E123" s="3">
        <v>2</v>
      </c>
      <c r="F123" s="3" t="s">
        <v>20</v>
      </c>
      <c r="G123" s="3" t="s">
        <v>21</v>
      </c>
      <c r="H123" s="3" t="s">
        <v>36</v>
      </c>
      <c r="I123" s="2">
        <v>45965</v>
      </c>
      <c r="J123" s="7">
        <v>0.96527777777777779</v>
      </c>
      <c r="K123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124" spans="2:11" hidden="1" x14ac:dyDescent="0.3">
      <c r="B124" s="2">
        <v>45965</v>
      </c>
      <c r="C124" s="7">
        <v>3.888888888888889E-2</v>
      </c>
      <c r="D124" s="3" t="s">
        <v>28</v>
      </c>
      <c r="E124" s="3">
        <v>2</v>
      </c>
      <c r="F124" s="3" t="s">
        <v>20</v>
      </c>
      <c r="G124" s="3" t="s">
        <v>21</v>
      </c>
      <c r="H124" s="3" t="s">
        <v>36</v>
      </c>
      <c r="I124" s="2">
        <v>45965</v>
      </c>
      <c r="J124" s="7">
        <v>4.3055555555555555E-2</v>
      </c>
      <c r="K124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25" spans="2:11" hidden="1" x14ac:dyDescent="0.3">
      <c r="B125" s="2">
        <v>45965</v>
      </c>
      <c r="C125" s="7">
        <v>5.9722222222222225E-2</v>
      </c>
      <c r="D125" s="3" t="s">
        <v>28</v>
      </c>
      <c r="E125" s="3">
        <v>2</v>
      </c>
      <c r="F125" s="3" t="s">
        <v>20</v>
      </c>
      <c r="G125" s="3" t="s">
        <v>21</v>
      </c>
      <c r="H125" s="3" t="s">
        <v>36</v>
      </c>
      <c r="I125" s="2">
        <v>45965</v>
      </c>
      <c r="J125" s="7">
        <v>6.3888888888888884E-2</v>
      </c>
      <c r="K125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26" spans="2:11" hidden="1" x14ac:dyDescent="0.3">
      <c r="B126" s="2">
        <v>45965</v>
      </c>
      <c r="C126" s="7">
        <v>0.11458333333333333</v>
      </c>
      <c r="D126" s="3" t="s">
        <v>28</v>
      </c>
      <c r="E126" s="3">
        <v>2</v>
      </c>
      <c r="F126" s="3" t="s">
        <v>20</v>
      </c>
      <c r="G126" s="3" t="s">
        <v>21</v>
      </c>
      <c r="H126" s="3" t="s">
        <v>36</v>
      </c>
      <c r="I126" s="2">
        <v>45965</v>
      </c>
      <c r="J126" s="7">
        <v>0.11874999999999999</v>
      </c>
      <c r="K126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27" spans="2:11" hidden="1" x14ac:dyDescent="0.3">
      <c r="B127" s="2">
        <v>45966</v>
      </c>
      <c r="C127" s="7">
        <v>0.34583333333333333</v>
      </c>
      <c r="D127" s="3" t="s">
        <v>19</v>
      </c>
      <c r="E127" s="3">
        <v>1</v>
      </c>
      <c r="F127" s="3" t="s">
        <v>20</v>
      </c>
      <c r="G127" s="3" t="s">
        <v>21</v>
      </c>
      <c r="H127" s="3" t="s">
        <v>31</v>
      </c>
      <c r="I127" s="2">
        <v>45966</v>
      </c>
      <c r="J127" s="7">
        <v>0.3923611111111111</v>
      </c>
      <c r="K127" s="12">
        <f>IFERROR(IF(FManutencao[[#This Row],[Hora Fim]]="","",(FManutencao[[#This Row],[Data Fim]]+FManutencao[[#This Row],[Hora Fim]])-(FManutencao[[#This Row],[Data Início]]+FManutencao[[#This Row],[Hora Início]])),"Data Fim errada")</f>
        <v>4.6527777776645962E-2</v>
      </c>
    </row>
    <row r="128" spans="2:11" hidden="1" x14ac:dyDescent="0.3">
      <c r="B128" s="2">
        <v>45966</v>
      </c>
      <c r="C128" s="7">
        <v>0.41944444444444445</v>
      </c>
      <c r="D128" s="3" t="s">
        <v>19</v>
      </c>
      <c r="E128" s="3">
        <v>1</v>
      </c>
      <c r="F128" s="3" t="s">
        <v>20</v>
      </c>
      <c r="G128" s="3" t="s">
        <v>21</v>
      </c>
      <c r="H128" s="3" t="s">
        <v>36</v>
      </c>
      <c r="I128" s="2">
        <v>45966</v>
      </c>
      <c r="J128" s="7">
        <v>0.42083333333333334</v>
      </c>
      <c r="K128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29" spans="2:11" hidden="1" x14ac:dyDescent="0.3">
      <c r="B129" s="2">
        <v>45966</v>
      </c>
      <c r="C129" s="7">
        <v>0.44444444444444442</v>
      </c>
      <c r="D129" s="3" t="s">
        <v>19</v>
      </c>
      <c r="E129" s="3">
        <v>1</v>
      </c>
      <c r="F129" s="3" t="s">
        <v>20</v>
      </c>
      <c r="G129" s="3" t="s">
        <v>21</v>
      </c>
      <c r="H129" s="3" t="s">
        <v>36</v>
      </c>
      <c r="I129" s="2">
        <v>45966</v>
      </c>
      <c r="J129" s="7">
        <v>0.4465277777777778</v>
      </c>
      <c r="K129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130" spans="2:11" hidden="1" x14ac:dyDescent="0.3">
      <c r="B130" s="2">
        <v>45966</v>
      </c>
      <c r="C130" s="7">
        <v>0.47361111111111109</v>
      </c>
      <c r="D130" s="3" t="s">
        <v>19</v>
      </c>
      <c r="E130" s="3">
        <v>1</v>
      </c>
      <c r="F130" s="3" t="s">
        <v>20</v>
      </c>
      <c r="G130" s="3" t="s">
        <v>21</v>
      </c>
      <c r="H130" s="3" t="s">
        <v>36</v>
      </c>
      <c r="I130" s="2">
        <v>45966</v>
      </c>
      <c r="J130" s="7">
        <v>0.47569444444444442</v>
      </c>
      <c r="K130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131" spans="2:11" hidden="1" x14ac:dyDescent="0.3">
      <c r="B131" s="2">
        <v>45966</v>
      </c>
      <c r="C131" s="7">
        <v>0.34583333333333333</v>
      </c>
      <c r="D131" s="3" t="s">
        <v>26</v>
      </c>
      <c r="E131" s="3">
        <v>1</v>
      </c>
      <c r="F131" s="3" t="s">
        <v>20</v>
      </c>
      <c r="G131" s="3" t="s">
        <v>21</v>
      </c>
      <c r="H131" s="3" t="s">
        <v>31</v>
      </c>
      <c r="I131" s="2">
        <v>45966</v>
      </c>
      <c r="J131" s="7">
        <v>0.3923611111111111</v>
      </c>
      <c r="K131" s="12">
        <f>IFERROR(IF(FManutencao[[#This Row],[Hora Fim]]="","",(FManutencao[[#This Row],[Data Fim]]+FManutencao[[#This Row],[Hora Fim]])-(FManutencao[[#This Row],[Data Início]]+FManutencao[[#This Row],[Hora Início]])),"Data Fim errada")</f>
        <v>4.6527777776645962E-2</v>
      </c>
    </row>
    <row r="132" spans="2:11" hidden="1" x14ac:dyDescent="0.3">
      <c r="B132" s="2">
        <v>45966</v>
      </c>
      <c r="C132" s="7">
        <v>0.41944444444444445</v>
      </c>
      <c r="D132" s="3" t="s">
        <v>26</v>
      </c>
      <c r="E132" s="3">
        <v>1</v>
      </c>
      <c r="F132" s="3" t="s">
        <v>20</v>
      </c>
      <c r="G132" s="3" t="s">
        <v>21</v>
      </c>
      <c r="H132" s="3" t="s">
        <v>36</v>
      </c>
      <c r="I132" s="2">
        <v>45966</v>
      </c>
      <c r="J132" s="7">
        <v>0.42083333333333334</v>
      </c>
      <c r="K132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33" spans="2:11" hidden="1" x14ac:dyDescent="0.3">
      <c r="B133" s="2">
        <v>45966</v>
      </c>
      <c r="C133" s="7">
        <v>0.44444444444444442</v>
      </c>
      <c r="D133" s="3" t="s">
        <v>26</v>
      </c>
      <c r="E133" s="3">
        <v>1</v>
      </c>
      <c r="F133" s="3" t="s">
        <v>20</v>
      </c>
      <c r="G133" s="3" t="s">
        <v>21</v>
      </c>
      <c r="H133" s="3" t="s">
        <v>36</v>
      </c>
      <c r="I133" s="2">
        <v>45966</v>
      </c>
      <c r="J133" s="7">
        <v>0.4465277777777778</v>
      </c>
      <c r="K133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134" spans="2:11" hidden="1" x14ac:dyDescent="0.3">
      <c r="B134" s="2">
        <v>45966</v>
      </c>
      <c r="C134" s="7">
        <v>0.47361111111111109</v>
      </c>
      <c r="D134" s="3" t="s">
        <v>26</v>
      </c>
      <c r="E134" s="3">
        <v>1</v>
      </c>
      <c r="F134" s="3" t="s">
        <v>20</v>
      </c>
      <c r="G134" s="3" t="s">
        <v>21</v>
      </c>
      <c r="H134" s="3" t="s">
        <v>36</v>
      </c>
      <c r="I134" s="2">
        <v>45966</v>
      </c>
      <c r="J134" s="7">
        <v>0.47569444444444442</v>
      </c>
      <c r="K134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135" spans="2:11" hidden="1" x14ac:dyDescent="0.3">
      <c r="B135" s="2">
        <v>45966</v>
      </c>
      <c r="C135" s="7">
        <v>0.34583333333333333</v>
      </c>
      <c r="D135" s="3" t="s">
        <v>27</v>
      </c>
      <c r="E135" s="3">
        <v>1</v>
      </c>
      <c r="F135" s="3" t="s">
        <v>20</v>
      </c>
      <c r="G135" s="3" t="s">
        <v>29</v>
      </c>
      <c r="H135" s="3" t="s">
        <v>31</v>
      </c>
      <c r="I135" s="2">
        <v>45966</v>
      </c>
      <c r="J135" s="7">
        <v>0.3923611111111111</v>
      </c>
      <c r="K135" s="12">
        <f>IFERROR(IF(FManutencao[[#This Row],[Hora Fim]]="","",(FManutencao[[#This Row],[Data Fim]]+FManutencao[[#This Row],[Hora Fim]])-(FManutencao[[#This Row],[Data Início]]+FManutencao[[#This Row],[Hora Início]])),"Data Fim errada")</f>
        <v>4.6527777776645962E-2</v>
      </c>
    </row>
    <row r="136" spans="2:11" hidden="1" x14ac:dyDescent="0.3">
      <c r="B136" s="2">
        <v>45966</v>
      </c>
      <c r="C136" s="7">
        <v>0.41944444444444445</v>
      </c>
      <c r="D136" s="3" t="s">
        <v>27</v>
      </c>
      <c r="E136" s="3">
        <v>1</v>
      </c>
      <c r="F136" s="3" t="s">
        <v>20</v>
      </c>
      <c r="G136" s="3" t="s">
        <v>21</v>
      </c>
      <c r="H136" s="3" t="s">
        <v>36</v>
      </c>
      <c r="I136" s="2">
        <v>45966</v>
      </c>
      <c r="J136" s="7">
        <v>0.42083333333333334</v>
      </c>
      <c r="K136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37" spans="2:11" hidden="1" x14ac:dyDescent="0.3">
      <c r="B137" s="2">
        <v>45966</v>
      </c>
      <c r="C137" s="7">
        <v>0.44444444444444442</v>
      </c>
      <c r="D137" s="3" t="s">
        <v>27</v>
      </c>
      <c r="E137" s="3">
        <v>1</v>
      </c>
      <c r="F137" s="3" t="s">
        <v>20</v>
      </c>
      <c r="G137" s="3" t="s">
        <v>21</v>
      </c>
      <c r="H137" s="3" t="s">
        <v>36</v>
      </c>
      <c r="I137" s="2">
        <v>45966</v>
      </c>
      <c r="J137" s="7">
        <v>0.4465277777777778</v>
      </c>
      <c r="K137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138" spans="2:11" hidden="1" x14ac:dyDescent="0.3">
      <c r="B138" s="2">
        <v>45966</v>
      </c>
      <c r="C138" s="7">
        <v>0.47361111111111109</v>
      </c>
      <c r="D138" s="3" t="s">
        <v>27</v>
      </c>
      <c r="E138" s="3">
        <v>1</v>
      </c>
      <c r="F138" s="3" t="s">
        <v>20</v>
      </c>
      <c r="G138" s="3" t="s">
        <v>21</v>
      </c>
      <c r="H138" s="3" t="s">
        <v>36</v>
      </c>
      <c r="I138" s="2">
        <v>45966</v>
      </c>
      <c r="J138" s="7">
        <v>0.47569444444444442</v>
      </c>
      <c r="K138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139" spans="2:11" hidden="1" x14ac:dyDescent="0.3">
      <c r="B139" s="2">
        <v>45966</v>
      </c>
      <c r="C139" s="7">
        <v>0.34583333333333333</v>
      </c>
      <c r="D139" s="3" t="s">
        <v>28</v>
      </c>
      <c r="E139" s="3">
        <v>1</v>
      </c>
      <c r="F139" s="3" t="s">
        <v>20</v>
      </c>
      <c r="G139" s="3" t="s">
        <v>21</v>
      </c>
      <c r="H139" s="3" t="s">
        <v>31</v>
      </c>
      <c r="I139" s="2">
        <v>45966</v>
      </c>
      <c r="J139" s="7">
        <v>0.3923611111111111</v>
      </c>
      <c r="K139" s="12">
        <f>IFERROR(IF(FManutencao[[#This Row],[Hora Fim]]="","",(FManutencao[[#This Row],[Data Fim]]+FManutencao[[#This Row],[Hora Fim]])-(FManutencao[[#This Row],[Data Início]]+FManutencao[[#This Row],[Hora Início]])),"Data Fim errada")</f>
        <v>4.6527777776645962E-2</v>
      </c>
    </row>
    <row r="140" spans="2:11" hidden="1" x14ac:dyDescent="0.3">
      <c r="B140" s="2">
        <v>45966</v>
      </c>
      <c r="C140" s="7">
        <v>0.41944444444444445</v>
      </c>
      <c r="D140" s="3" t="s">
        <v>28</v>
      </c>
      <c r="E140" s="3">
        <v>1</v>
      </c>
      <c r="F140" s="3" t="s">
        <v>20</v>
      </c>
      <c r="G140" s="3" t="s">
        <v>21</v>
      </c>
      <c r="H140" s="3" t="s">
        <v>36</v>
      </c>
      <c r="I140" s="2">
        <v>45966</v>
      </c>
      <c r="J140" s="7">
        <v>0.42083333333333334</v>
      </c>
      <c r="K140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41" spans="2:11" hidden="1" x14ac:dyDescent="0.3">
      <c r="B141" s="2">
        <v>45966</v>
      </c>
      <c r="C141" s="7">
        <v>0.44444444444444442</v>
      </c>
      <c r="D141" s="3" t="s">
        <v>28</v>
      </c>
      <c r="E141" s="3">
        <v>1</v>
      </c>
      <c r="F141" s="3" t="s">
        <v>20</v>
      </c>
      <c r="G141" s="3" t="s">
        <v>21</v>
      </c>
      <c r="H141" s="3" t="s">
        <v>36</v>
      </c>
      <c r="I141" s="2">
        <v>45966</v>
      </c>
      <c r="J141" s="7">
        <v>0.4465277777777778</v>
      </c>
      <c r="K141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142" spans="2:11" hidden="1" x14ac:dyDescent="0.3">
      <c r="B142" s="2">
        <v>45966</v>
      </c>
      <c r="C142" s="7">
        <v>0.47361111111111109</v>
      </c>
      <c r="D142" s="3" t="s">
        <v>28</v>
      </c>
      <c r="E142" s="3">
        <v>1</v>
      </c>
      <c r="F142" s="3" t="s">
        <v>20</v>
      </c>
      <c r="G142" s="3" t="s">
        <v>21</v>
      </c>
      <c r="H142" s="3" t="s">
        <v>36</v>
      </c>
      <c r="I142" s="2">
        <v>45966</v>
      </c>
      <c r="J142" s="7">
        <v>0.47569444444444442</v>
      </c>
      <c r="K142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143" spans="2:11" hidden="1" x14ac:dyDescent="0.3">
      <c r="B143" s="2">
        <v>45966</v>
      </c>
      <c r="C143" s="7">
        <v>0.88194444444444442</v>
      </c>
      <c r="D143" s="3" t="s">
        <v>19</v>
      </c>
      <c r="E143" s="3">
        <v>2</v>
      </c>
      <c r="F143" s="3" t="s">
        <v>20</v>
      </c>
      <c r="G143" s="3" t="s">
        <v>21</v>
      </c>
      <c r="H143" s="3" t="s">
        <v>42</v>
      </c>
      <c r="I143" s="2">
        <v>45966</v>
      </c>
      <c r="J143" s="7">
        <v>0.90763888888888888</v>
      </c>
      <c r="K143" s="12">
        <f>IFERROR(IF(FManutencao[[#This Row],[Hora Fim]]="","",(FManutencao[[#This Row],[Data Fim]]+FManutencao[[#This Row],[Hora Fim]])-(FManutencao[[#This Row],[Data Início]]+FManutencao[[#This Row],[Hora Início]])),"Data Fim errada")</f>
        <v>2.569444444088731E-2</v>
      </c>
    </row>
    <row r="144" spans="2:11" hidden="1" x14ac:dyDescent="0.3">
      <c r="B144" s="2">
        <v>45966</v>
      </c>
      <c r="C144" s="7">
        <v>0.92847222222222225</v>
      </c>
      <c r="D144" s="3" t="s">
        <v>19</v>
      </c>
      <c r="E144" s="3">
        <v>2</v>
      </c>
      <c r="F144" s="3" t="s">
        <v>20</v>
      </c>
      <c r="G144" s="3" t="s">
        <v>21</v>
      </c>
      <c r="H144" s="3" t="s">
        <v>22</v>
      </c>
      <c r="I144" s="2">
        <v>45966</v>
      </c>
      <c r="J144" s="7">
        <v>0.94236111111111109</v>
      </c>
      <c r="K144" s="12">
        <f>IFERROR(IF(FManutencao[[#This Row],[Hora Fim]]="","",(FManutencao[[#This Row],[Data Fim]]+FManutencao[[#This Row],[Hora Fim]])-(FManutencao[[#This Row],[Data Início]]+FManutencao[[#This Row],[Hora Início]])),"Data Fim errada")</f>
        <v>1.3888888890505768E-2</v>
      </c>
    </row>
    <row r="145" spans="2:11" hidden="1" x14ac:dyDescent="0.3">
      <c r="B145" s="2">
        <v>45966</v>
      </c>
      <c r="C145" s="7">
        <v>0.98750000000000004</v>
      </c>
      <c r="D145" s="3" t="s">
        <v>19</v>
      </c>
      <c r="E145" s="3">
        <v>2</v>
      </c>
      <c r="F145" s="3" t="s">
        <v>20</v>
      </c>
      <c r="G145" s="3" t="s">
        <v>21</v>
      </c>
      <c r="H145" s="3" t="s">
        <v>23</v>
      </c>
      <c r="I145" s="2">
        <v>45966</v>
      </c>
      <c r="J145" s="7">
        <v>0.98888888888888893</v>
      </c>
      <c r="K145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46" spans="2:11" hidden="1" x14ac:dyDescent="0.3">
      <c r="B146" s="2">
        <v>45966</v>
      </c>
      <c r="C146" s="7">
        <v>0.99305555555555558</v>
      </c>
      <c r="D146" s="3" t="s">
        <v>19</v>
      </c>
      <c r="E146" s="3">
        <v>2</v>
      </c>
      <c r="F146" s="3" t="s">
        <v>20</v>
      </c>
      <c r="G146" s="3" t="s">
        <v>21</v>
      </c>
      <c r="H146" s="3" t="s">
        <v>23</v>
      </c>
      <c r="I146" s="2">
        <v>45966</v>
      </c>
      <c r="J146" s="7">
        <v>0.99444444444444446</v>
      </c>
      <c r="K146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47" spans="2:11" hidden="1" x14ac:dyDescent="0.3">
      <c r="B147" s="2">
        <v>45966</v>
      </c>
      <c r="C147" s="7">
        <v>2.0833333333333332E-2</v>
      </c>
      <c r="D147" s="3" t="s">
        <v>19</v>
      </c>
      <c r="E147" s="3">
        <v>2</v>
      </c>
      <c r="F147" s="3" t="s">
        <v>20</v>
      </c>
      <c r="G147" s="3" t="s">
        <v>21</v>
      </c>
      <c r="H147" s="3" t="s">
        <v>23</v>
      </c>
      <c r="I147" s="2">
        <v>45966</v>
      </c>
      <c r="J147" s="7">
        <v>2.2222222222222223E-2</v>
      </c>
      <c r="K147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48" spans="2:11" hidden="1" x14ac:dyDescent="0.3">
      <c r="B148" s="2">
        <v>45966</v>
      </c>
      <c r="C148" s="7">
        <v>0.20833333333333334</v>
      </c>
      <c r="D148" s="3" t="s">
        <v>19</v>
      </c>
      <c r="E148" s="3">
        <v>2</v>
      </c>
      <c r="F148" s="3" t="s">
        <v>24</v>
      </c>
      <c r="G148" s="3" t="s">
        <v>21</v>
      </c>
      <c r="H148" s="3" t="s">
        <v>33</v>
      </c>
      <c r="I148" s="2">
        <v>45966</v>
      </c>
      <c r="J148" s="7">
        <v>0.21249999999999999</v>
      </c>
      <c r="K148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49" spans="2:11" hidden="1" x14ac:dyDescent="0.3">
      <c r="B149" s="2">
        <v>45966</v>
      </c>
      <c r="C149" s="7">
        <v>0.28472222222222221</v>
      </c>
      <c r="D149" s="3" t="s">
        <v>19</v>
      </c>
      <c r="E149" s="3">
        <v>2</v>
      </c>
      <c r="F149" s="3" t="s">
        <v>20</v>
      </c>
      <c r="G149" s="3" t="s">
        <v>29</v>
      </c>
      <c r="H149" s="3" t="s">
        <v>43</v>
      </c>
      <c r="I149" s="2">
        <v>45966</v>
      </c>
      <c r="J149" s="7">
        <v>0.29166666666666669</v>
      </c>
      <c r="K149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150" spans="2:11" hidden="1" x14ac:dyDescent="0.3">
      <c r="B150" s="2">
        <v>45966</v>
      </c>
      <c r="C150" s="7">
        <v>0.88194444444444442</v>
      </c>
      <c r="D150" s="3" t="s">
        <v>26</v>
      </c>
      <c r="E150" s="3">
        <v>2</v>
      </c>
      <c r="F150" s="3" t="s">
        <v>20</v>
      </c>
      <c r="G150" s="3" t="s">
        <v>21</v>
      </c>
      <c r="H150" s="3" t="s">
        <v>42</v>
      </c>
      <c r="I150" s="2">
        <v>45966</v>
      </c>
      <c r="J150" s="7">
        <v>0.90763888888888888</v>
      </c>
      <c r="K150" s="12">
        <f>IFERROR(IF(FManutencao[[#This Row],[Hora Fim]]="","",(FManutencao[[#This Row],[Data Fim]]+FManutencao[[#This Row],[Hora Fim]])-(FManutencao[[#This Row],[Data Início]]+FManutencao[[#This Row],[Hora Início]])),"Data Fim errada")</f>
        <v>2.569444444088731E-2</v>
      </c>
    </row>
    <row r="151" spans="2:11" hidden="1" x14ac:dyDescent="0.3">
      <c r="B151" s="2">
        <v>45966</v>
      </c>
      <c r="C151" s="7">
        <v>0.92847222222222225</v>
      </c>
      <c r="D151" s="3" t="s">
        <v>26</v>
      </c>
      <c r="E151" s="3">
        <v>2</v>
      </c>
      <c r="F151" s="3" t="s">
        <v>20</v>
      </c>
      <c r="G151" s="3" t="s">
        <v>21</v>
      </c>
      <c r="H151" s="3" t="s">
        <v>22</v>
      </c>
      <c r="I151" s="2">
        <v>45966</v>
      </c>
      <c r="J151" s="7">
        <v>0.94236111111111109</v>
      </c>
      <c r="K151" s="12">
        <f>IFERROR(IF(FManutencao[[#This Row],[Hora Fim]]="","",(FManutencao[[#This Row],[Data Fim]]+FManutencao[[#This Row],[Hora Fim]])-(FManutencao[[#This Row],[Data Início]]+FManutencao[[#This Row],[Hora Início]])),"Data Fim errada")</f>
        <v>1.3888888890505768E-2</v>
      </c>
    </row>
    <row r="152" spans="2:11" hidden="1" x14ac:dyDescent="0.3">
      <c r="B152" s="2">
        <v>45966</v>
      </c>
      <c r="C152" s="7">
        <v>0.98750000000000004</v>
      </c>
      <c r="D152" s="3" t="s">
        <v>26</v>
      </c>
      <c r="E152" s="3">
        <v>2</v>
      </c>
      <c r="F152" s="3" t="s">
        <v>20</v>
      </c>
      <c r="G152" s="3" t="s">
        <v>21</v>
      </c>
      <c r="H152" s="3" t="s">
        <v>23</v>
      </c>
      <c r="I152" s="2">
        <v>45966</v>
      </c>
      <c r="J152" s="7">
        <v>0.98888888888888893</v>
      </c>
      <c r="K152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53" spans="2:11" hidden="1" x14ac:dyDescent="0.3">
      <c r="B153" s="2">
        <v>45966</v>
      </c>
      <c r="C153" s="7">
        <v>0.99305555555555558</v>
      </c>
      <c r="D153" s="3" t="s">
        <v>26</v>
      </c>
      <c r="E153" s="3">
        <v>2</v>
      </c>
      <c r="F153" s="3" t="s">
        <v>20</v>
      </c>
      <c r="G153" s="3" t="s">
        <v>21</v>
      </c>
      <c r="H153" s="3" t="s">
        <v>23</v>
      </c>
      <c r="I153" s="2">
        <v>45966</v>
      </c>
      <c r="J153" s="7">
        <v>0.99444444444444446</v>
      </c>
      <c r="K153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54" spans="2:11" hidden="1" x14ac:dyDescent="0.3">
      <c r="B154" s="2">
        <v>45966</v>
      </c>
      <c r="C154" s="7">
        <v>2.0833333333333332E-2</v>
      </c>
      <c r="D154" s="3" t="s">
        <v>26</v>
      </c>
      <c r="E154" s="3">
        <v>2</v>
      </c>
      <c r="F154" s="3" t="s">
        <v>20</v>
      </c>
      <c r="G154" s="3" t="s">
        <v>21</v>
      </c>
      <c r="H154" s="3" t="s">
        <v>23</v>
      </c>
      <c r="I154" s="2">
        <v>45966</v>
      </c>
      <c r="J154" s="7">
        <v>2.2222222222222223E-2</v>
      </c>
      <c r="K154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55" spans="2:11" hidden="1" x14ac:dyDescent="0.3">
      <c r="B155" s="2">
        <v>45966</v>
      </c>
      <c r="C155" s="7">
        <v>0.20833333333333334</v>
      </c>
      <c r="D155" s="3" t="s">
        <v>26</v>
      </c>
      <c r="E155" s="3">
        <v>2</v>
      </c>
      <c r="F155" s="3" t="s">
        <v>24</v>
      </c>
      <c r="G155" s="3" t="s">
        <v>21</v>
      </c>
      <c r="H155" s="3" t="s">
        <v>33</v>
      </c>
      <c r="I155" s="2">
        <v>45966</v>
      </c>
      <c r="J155" s="7">
        <v>0.21249999999999999</v>
      </c>
      <c r="K155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56" spans="2:11" hidden="1" x14ac:dyDescent="0.3">
      <c r="B156" s="2">
        <v>45966</v>
      </c>
      <c r="C156" s="7">
        <v>0.28472222222222221</v>
      </c>
      <c r="D156" s="3" t="s">
        <v>26</v>
      </c>
      <c r="E156" s="3">
        <v>2</v>
      </c>
      <c r="F156" s="3" t="s">
        <v>20</v>
      </c>
      <c r="G156" s="3" t="s">
        <v>21</v>
      </c>
      <c r="H156" s="3" t="s">
        <v>43</v>
      </c>
      <c r="I156" s="2">
        <v>45966</v>
      </c>
      <c r="J156" s="7">
        <v>0.29166666666666669</v>
      </c>
      <c r="K156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157" spans="2:11" hidden="1" x14ac:dyDescent="0.3">
      <c r="B157" s="2">
        <v>45966</v>
      </c>
      <c r="C157" s="7">
        <v>0.88194444444444442</v>
      </c>
      <c r="D157" s="3" t="s">
        <v>27</v>
      </c>
      <c r="E157" s="3">
        <v>2</v>
      </c>
      <c r="F157" s="3" t="s">
        <v>20</v>
      </c>
      <c r="G157" s="3" t="s">
        <v>21</v>
      </c>
      <c r="H157" s="3" t="s">
        <v>42</v>
      </c>
      <c r="I157" s="2">
        <v>45966</v>
      </c>
      <c r="J157" s="7">
        <v>0.90763888888888888</v>
      </c>
      <c r="K157" s="12">
        <f>IFERROR(IF(FManutencao[[#This Row],[Hora Fim]]="","",(FManutencao[[#This Row],[Data Fim]]+FManutencao[[#This Row],[Hora Fim]])-(FManutencao[[#This Row],[Data Início]]+FManutencao[[#This Row],[Hora Início]])),"Data Fim errada")</f>
        <v>2.569444444088731E-2</v>
      </c>
    </row>
    <row r="158" spans="2:11" hidden="1" x14ac:dyDescent="0.3">
      <c r="B158" s="2">
        <v>45966</v>
      </c>
      <c r="C158" s="7">
        <v>0.92847222222222225</v>
      </c>
      <c r="D158" s="3" t="s">
        <v>27</v>
      </c>
      <c r="E158" s="3">
        <v>2</v>
      </c>
      <c r="F158" s="3" t="s">
        <v>20</v>
      </c>
      <c r="G158" s="3" t="s">
        <v>21</v>
      </c>
      <c r="H158" s="3" t="s">
        <v>22</v>
      </c>
      <c r="I158" s="2">
        <v>45966</v>
      </c>
      <c r="J158" s="7">
        <v>0.94236111111111109</v>
      </c>
      <c r="K158" s="12">
        <f>IFERROR(IF(FManutencao[[#This Row],[Hora Fim]]="","",(FManutencao[[#This Row],[Data Fim]]+FManutencao[[#This Row],[Hora Fim]])-(FManutencao[[#This Row],[Data Início]]+FManutencao[[#This Row],[Hora Início]])),"Data Fim errada")</f>
        <v>1.3888888890505768E-2</v>
      </c>
    </row>
    <row r="159" spans="2:11" hidden="1" x14ac:dyDescent="0.3">
      <c r="B159" s="2">
        <v>45966</v>
      </c>
      <c r="C159" s="7">
        <v>0.98750000000000004</v>
      </c>
      <c r="D159" s="3" t="s">
        <v>27</v>
      </c>
      <c r="E159" s="3">
        <v>2</v>
      </c>
      <c r="F159" s="3" t="s">
        <v>20</v>
      </c>
      <c r="G159" s="3" t="s">
        <v>21</v>
      </c>
      <c r="H159" s="3" t="s">
        <v>23</v>
      </c>
      <c r="I159" s="2">
        <v>45966</v>
      </c>
      <c r="J159" s="7">
        <v>0.98888888888888893</v>
      </c>
      <c r="K159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60" spans="2:11" hidden="1" x14ac:dyDescent="0.3">
      <c r="B160" s="2">
        <v>45966</v>
      </c>
      <c r="C160" s="7">
        <v>0.99305555555555558</v>
      </c>
      <c r="D160" s="3" t="s">
        <v>27</v>
      </c>
      <c r="E160" s="3">
        <v>2</v>
      </c>
      <c r="F160" s="3" t="s">
        <v>20</v>
      </c>
      <c r="G160" s="3" t="s">
        <v>21</v>
      </c>
      <c r="H160" s="3" t="s">
        <v>23</v>
      </c>
      <c r="I160" s="2">
        <v>45966</v>
      </c>
      <c r="J160" s="7">
        <v>0.99444444444444446</v>
      </c>
      <c r="K160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61" spans="2:11" hidden="1" x14ac:dyDescent="0.3">
      <c r="B161" s="2">
        <v>45966</v>
      </c>
      <c r="C161" s="7">
        <v>2.0833333333333332E-2</v>
      </c>
      <c r="D161" s="3" t="s">
        <v>27</v>
      </c>
      <c r="E161" s="3">
        <v>2</v>
      </c>
      <c r="F161" s="3" t="s">
        <v>20</v>
      </c>
      <c r="G161" s="3" t="s">
        <v>21</v>
      </c>
      <c r="H161" s="3" t="s">
        <v>23</v>
      </c>
      <c r="I161" s="2">
        <v>45966</v>
      </c>
      <c r="J161" s="7">
        <v>2.2222222222222223E-2</v>
      </c>
      <c r="K161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62" spans="2:11" hidden="1" x14ac:dyDescent="0.3">
      <c r="B162" s="2">
        <v>45966</v>
      </c>
      <c r="C162" s="7">
        <v>0.20833333333333334</v>
      </c>
      <c r="D162" s="3" t="s">
        <v>27</v>
      </c>
      <c r="E162" s="3">
        <v>2</v>
      </c>
      <c r="F162" s="3" t="s">
        <v>24</v>
      </c>
      <c r="G162" s="3" t="s">
        <v>29</v>
      </c>
      <c r="H162" s="3" t="s">
        <v>33</v>
      </c>
      <c r="I162" s="2">
        <v>45966</v>
      </c>
      <c r="J162" s="7">
        <v>0.21249999999999999</v>
      </c>
      <c r="K162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63" spans="2:11" hidden="1" x14ac:dyDescent="0.3">
      <c r="B163" s="2">
        <v>45966</v>
      </c>
      <c r="C163" s="7">
        <v>0.28472222222222221</v>
      </c>
      <c r="D163" s="3" t="s">
        <v>27</v>
      </c>
      <c r="E163" s="3">
        <v>2</v>
      </c>
      <c r="F163" s="3" t="s">
        <v>20</v>
      </c>
      <c r="G163" s="3" t="s">
        <v>21</v>
      </c>
      <c r="H163" s="3" t="s">
        <v>43</v>
      </c>
      <c r="I163" s="2">
        <v>45966</v>
      </c>
      <c r="J163" s="7">
        <v>0.29166666666666669</v>
      </c>
      <c r="K163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164" spans="2:11" hidden="1" x14ac:dyDescent="0.3">
      <c r="B164" s="2">
        <v>45966</v>
      </c>
      <c r="C164" s="7">
        <v>0.88194444444444442</v>
      </c>
      <c r="D164" s="3" t="s">
        <v>28</v>
      </c>
      <c r="E164" s="3">
        <v>2</v>
      </c>
      <c r="F164" s="3" t="s">
        <v>20</v>
      </c>
      <c r="G164" s="3" t="s">
        <v>21</v>
      </c>
      <c r="H164" s="3" t="s">
        <v>42</v>
      </c>
      <c r="I164" s="2">
        <v>45966</v>
      </c>
      <c r="J164" s="7">
        <v>0.90763888888888888</v>
      </c>
      <c r="K164" s="12">
        <f>IFERROR(IF(FManutencao[[#This Row],[Hora Fim]]="","",(FManutencao[[#This Row],[Data Fim]]+FManutencao[[#This Row],[Hora Fim]])-(FManutencao[[#This Row],[Data Início]]+FManutencao[[#This Row],[Hora Início]])),"Data Fim errada")</f>
        <v>2.569444444088731E-2</v>
      </c>
    </row>
    <row r="165" spans="2:11" hidden="1" x14ac:dyDescent="0.3">
      <c r="B165" s="2">
        <v>45966</v>
      </c>
      <c r="C165" s="7">
        <v>0.92847222222222225</v>
      </c>
      <c r="D165" s="3" t="s">
        <v>28</v>
      </c>
      <c r="E165" s="3">
        <v>2</v>
      </c>
      <c r="F165" s="3" t="s">
        <v>20</v>
      </c>
      <c r="G165" s="3" t="s">
        <v>21</v>
      </c>
      <c r="H165" s="3" t="s">
        <v>22</v>
      </c>
      <c r="I165" s="2">
        <v>45966</v>
      </c>
      <c r="J165" s="7">
        <v>0.94236111111111109</v>
      </c>
      <c r="K165" s="12">
        <f>IFERROR(IF(FManutencao[[#This Row],[Hora Fim]]="","",(FManutencao[[#This Row],[Data Fim]]+FManutencao[[#This Row],[Hora Fim]])-(FManutencao[[#This Row],[Data Início]]+FManutencao[[#This Row],[Hora Início]])),"Data Fim errada")</f>
        <v>1.3888888890505768E-2</v>
      </c>
    </row>
    <row r="166" spans="2:11" hidden="1" x14ac:dyDescent="0.3">
      <c r="B166" s="2">
        <v>45966</v>
      </c>
      <c r="C166" s="7">
        <v>0.98750000000000004</v>
      </c>
      <c r="D166" s="3" t="s">
        <v>28</v>
      </c>
      <c r="E166" s="3">
        <v>2</v>
      </c>
      <c r="F166" s="3" t="s">
        <v>20</v>
      </c>
      <c r="G166" s="3" t="s">
        <v>29</v>
      </c>
      <c r="H166" s="3" t="s">
        <v>23</v>
      </c>
      <c r="I166" s="2">
        <v>45966</v>
      </c>
      <c r="J166" s="7">
        <v>0.98888888888888893</v>
      </c>
      <c r="K166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67" spans="2:11" hidden="1" x14ac:dyDescent="0.3">
      <c r="B167" s="2">
        <v>45966</v>
      </c>
      <c r="C167" s="7">
        <v>0.99305555555555558</v>
      </c>
      <c r="D167" s="3" t="s">
        <v>28</v>
      </c>
      <c r="E167" s="3">
        <v>2</v>
      </c>
      <c r="F167" s="3" t="s">
        <v>20</v>
      </c>
      <c r="G167" s="3" t="s">
        <v>29</v>
      </c>
      <c r="H167" s="3" t="s">
        <v>23</v>
      </c>
      <c r="I167" s="2">
        <v>45966</v>
      </c>
      <c r="J167" s="7">
        <v>0.99444444444444446</v>
      </c>
      <c r="K167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68" spans="2:11" hidden="1" x14ac:dyDescent="0.3">
      <c r="B168" s="2">
        <v>45966</v>
      </c>
      <c r="C168" s="7">
        <v>2.0833333333333332E-2</v>
      </c>
      <c r="D168" s="3" t="s">
        <v>28</v>
      </c>
      <c r="E168" s="3">
        <v>2</v>
      </c>
      <c r="F168" s="3" t="s">
        <v>20</v>
      </c>
      <c r="G168" s="3" t="s">
        <v>29</v>
      </c>
      <c r="H168" s="3" t="s">
        <v>23</v>
      </c>
      <c r="I168" s="2">
        <v>45966</v>
      </c>
      <c r="J168" s="7">
        <v>2.2222222222222223E-2</v>
      </c>
      <c r="K168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169" spans="2:11" hidden="1" x14ac:dyDescent="0.3">
      <c r="B169" s="2">
        <v>45966</v>
      </c>
      <c r="C169" s="7">
        <v>0.20833333333333334</v>
      </c>
      <c r="D169" s="3" t="s">
        <v>28</v>
      </c>
      <c r="E169" s="3">
        <v>2</v>
      </c>
      <c r="F169" s="3" t="s">
        <v>24</v>
      </c>
      <c r="G169" s="3" t="s">
        <v>21</v>
      </c>
      <c r="H169" s="3" t="s">
        <v>33</v>
      </c>
      <c r="I169" s="2">
        <v>45966</v>
      </c>
      <c r="J169" s="7">
        <v>0.21249999999999999</v>
      </c>
      <c r="K169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170" spans="2:11" hidden="1" x14ac:dyDescent="0.3">
      <c r="B170" s="2">
        <v>45966</v>
      </c>
      <c r="C170" s="7">
        <v>0.28472222222222221</v>
      </c>
      <c r="D170" s="3" t="s">
        <v>28</v>
      </c>
      <c r="E170" s="3">
        <v>2</v>
      </c>
      <c r="F170" s="3" t="s">
        <v>20</v>
      </c>
      <c r="G170" s="3" t="s">
        <v>21</v>
      </c>
      <c r="H170" s="3" t="s">
        <v>43</v>
      </c>
      <c r="I170" s="2">
        <v>45966</v>
      </c>
      <c r="J170" s="7">
        <v>0.29166666666666669</v>
      </c>
      <c r="K170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171" spans="2:11" hidden="1" x14ac:dyDescent="0.3">
      <c r="B171" s="2">
        <v>45967</v>
      </c>
      <c r="C171" s="7">
        <v>0.31597222222222221</v>
      </c>
      <c r="D171" s="3" t="s">
        <v>19</v>
      </c>
      <c r="E171" s="3">
        <v>1</v>
      </c>
      <c r="F171" s="3" t="s">
        <v>20</v>
      </c>
      <c r="G171" s="3" t="s">
        <v>29</v>
      </c>
      <c r="H171" s="3" t="s">
        <v>43</v>
      </c>
      <c r="I171" s="2">
        <v>45967</v>
      </c>
      <c r="J171" s="7">
        <v>0.32083333333333336</v>
      </c>
      <c r="K171" s="12">
        <f>IFERROR(IF(FManutencao[[#This Row],[Hora Fim]]="","",(FManutencao[[#This Row],[Data Fim]]+FManutencao[[#This Row],[Hora Fim]])-(FManutencao[[#This Row],[Data Início]]+FManutencao[[#This Row],[Hora Início]])),"Data Fim errada")</f>
        <v>4.8611111124046147E-3</v>
      </c>
    </row>
    <row r="172" spans="2:11" hidden="1" x14ac:dyDescent="0.3">
      <c r="B172" s="2">
        <v>45967</v>
      </c>
      <c r="C172" s="7">
        <v>0.32083333333333336</v>
      </c>
      <c r="D172" s="3" t="s">
        <v>19</v>
      </c>
      <c r="E172" s="3">
        <v>1</v>
      </c>
      <c r="F172" s="3" t="s">
        <v>24</v>
      </c>
      <c r="G172" s="3" t="s">
        <v>21</v>
      </c>
      <c r="H172" s="3" t="s">
        <v>44</v>
      </c>
      <c r="I172" s="2">
        <v>45967</v>
      </c>
      <c r="J172" s="7">
        <v>0.37569444444444444</v>
      </c>
      <c r="K172" s="12">
        <f>IFERROR(IF(FManutencao[[#This Row],[Hora Fim]]="","",(FManutencao[[#This Row],[Data Fim]]+FManutencao[[#This Row],[Hora Fim]])-(FManutencao[[#This Row],[Data Início]]+FManutencao[[#This Row],[Hora Início]])),"Data Fim errada")</f>
        <v>5.4861111115314998E-2</v>
      </c>
    </row>
    <row r="173" spans="2:11" hidden="1" x14ac:dyDescent="0.3">
      <c r="B173" s="2">
        <v>45967</v>
      </c>
      <c r="C173" s="7">
        <v>0.3888888888888889</v>
      </c>
      <c r="D173" s="3" t="s">
        <v>19</v>
      </c>
      <c r="E173" s="3">
        <v>1</v>
      </c>
      <c r="F173" s="3" t="s">
        <v>24</v>
      </c>
      <c r="G173" s="3" t="s">
        <v>21</v>
      </c>
      <c r="H173" s="3" t="s">
        <v>45</v>
      </c>
      <c r="I173" s="2">
        <v>45967</v>
      </c>
      <c r="J173" s="7">
        <v>0.39930555555555558</v>
      </c>
      <c r="K173" s="12">
        <f>IFERROR(IF(FManutencao[[#This Row],[Hora Fim]]="","",(FManutencao[[#This Row],[Data Fim]]+FManutencao[[#This Row],[Hora Fim]])-(FManutencao[[#This Row],[Data Início]]+FManutencao[[#This Row],[Hora Início]])),"Data Fim errada")</f>
        <v>1.0416666664241347E-2</v>
      </c>
    </row>
    <row r="174" spans="2:11" hidden="1" x14ac:dyDescent="0.3">
      <c r="B174" s="2">
        <v>45967</v>
      </c>
      <c r="C174" s="7">
        <v>0.55694444444444446</v>
      </c>
      <c r="D174" s="3" t="s">
        <v>19</v>
      </c>
      <c r="E174" s="3">
        <v>1</v>
      </c>
      <c r="F174" s="3" t="s">
        <v>20</v>
      </c>
      <c r="G174" s="3" t="s">
        <v>21</v>
      </c>
      <c r="H174" s="3" t="s">
        <v>22</v>
      </c>
      <c r="I174" s="2">
        <v>45967</v>
      </c>
      <c r="J174" s="7">
        <v>0.5708333333333333</v>
      </c>
      <c r="K174" s="12">
        <f>IFERROR(IF(FManutencao[[#This Row],[Hora Fim]]="","",(FManutencao[[#This Row],[Data Fim]]+FManutencao[[#This Row],[Hora Fim]])-(FManutencao[[#This Row],[Data Início]]+FManutencao[[#This Row],[Hora Início]])),"Data Fim errada")</f>
        <v>1.3888888890505768E-2</v>
      </c>
    </row>
    <row r="175" spans="2:11" hidden="1" x14ac:dyDescent="0.3">
      <c r="B175" s="2">
        <v>45967</v>
      </c>
      <c r="C175" s="7">
        <v>0.70972222222222225</v>
      </c>
      <c r="D175" s="3" t="s">
        <v>19</v>
      </c>
      <c r="E175" s="3">
        <v>1</v>
      </c>
      <c r="F175" s="3" t="s">
        <v>20</v>
      </c>
      <c r="G175" s="3" t="s">
        <v>21</v>
      </c>
      <c r="H175" s="3" t="s">
        <v>36</v>
      </c>
      <c r="I175" s="2">
        <v>45967</v>
      </c>
      <c r="J175" s="7">
        <v>0.71250000000000002</v>
      </c>
      <c r="K175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176" spans="2:11" hidden="1" x14ac:dyDescent="0.3">
      <c r="B176" s="2">
        <v>45967</v>
      </c>
      <c r="C176" s="7">
        <v>0.71805555555555556</v>
      </c>
      <c r="D176" s="3" t="s">
        <v>19</v>
      </c>
      <c r="E176" s="3">
        <v>1</v>
      </c>
      <c r="F176" s="3" t="s">
        <v>20</v>
      </c>
      <c r="G176" s="3" t="s">
        <v>21</v>
      </c>
      <c r="H176" s="3" t="s">
        <v>36</v>
      </c>
      <c r="I176" s="2">
        <v>45967</v>
      </c>
      <c r="J176" s="7">
        <v>0.72013888888888888</v>
      </c>
      <c r="K176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177" spans="2:11" hidden="1" x14ac:dyDescent="0.3">
      <c r="B177" s="2">
        <v>45967</v>
      </c>
      <c r="C177" s="7">
        <v>0.31597222222222221</v>
      </c>
      <c r="D177" s="3" t="s">
        <v>26</v>
      </c>
      <c r="E177" s="3">
        <v>1</v>
      </c>
      <c r="F177" s="3" t="s">
        <v>20</v>
      </c>
      <c r="G177" s="3" t="s">
        <v>21</v>
      </c>
      <c r="H177" s="3" t="s">
        <v>43</v>
      </c>
      <c r="I177" s="2">
        <v>45967</v>
      </c>
      <c r="J177" s="7">
        <v>0.32083333333333336</v>
      </c>
      <c r="K177" s="12">
        <f>IFERROR(IF(FManutencao[[#This Row],[Hora Fim]]="","",(FManutencao[[#This Row],[Data Fim]]+FManutencao[[#This Row],[Hora Fim]])-(FManutencao[[#This Row],[Data Início]]+FManutencao[[#This Row],[Hora Início]])),"Data Fim errada")</f>
        <v>4.8611111124046147E-3</v>
      </c>
    </row>
    <row r="178" spans="2:11" hidden="1" x14ac:dyDescent="0.3">
      <c r="B178" s="2">
        <v>45967</v>
      </c>
      <c r="C178" s="7">
        <v>0.32083333333333336</v>
      </c>
      <c r="D178" s="3" t="s">
        <v>26</v>
      </c>
      <c r="E178" s="3">
        <v>1</v>
      </c>
      <c r="F178" s="3" t="s">
        <v>24</v>
      </c>
      <c r="G178" s="3" t="s">
        <v>21</v>
      </c>
      <c r="H178" s="3" t="s">
        <v>44</v>
      </c>
      <c r="I178" s="2">
        <v>45967</v>
      </c>
      <c r="J178" s="7">
        <v>0.37569444444444444</v>
      </c>
      <c r="K178" s="12">
        <f>IFERROR(IF(FManutencao[[#This Row],[Hora Fim]]="","",(FManutencao[[#This Row],[Data Fim]]+FManutencao[[#This Row],[Hora Fim]])-(FManutencao[[#This Row],[Data Início]]+FManutencao[[#This Row],[Hora Início]])),"Data Fim errada")</f>
        <v>5.4861111115314998E-2</v>
      </c>
    </row>
    <row r="179" spans="2:11" hidden="1" x14ac:dyDescent="0.3">
      <c r="B179" s="2">
        <v>45967</v>
      </c>
      <c r="C179" s="7">
        <v>0.3888888888888889</v>
      </c>
      <c r="D179" s="3" t="s">
        <v>26</v>
      </c>
      <c r="E179" s="3">
        <v>1</v>
      </c>
      <c r="F179" s="3" t="s">
        <v>24</v>
      </c>
      <c r="G179" s="3" t="s">
        <v>21</v>
      </c>
      <c r="H179" s="3" t="s">
        <v>45</v>
      </c>
      <c r="I179" s="2">
        <v>45967</v>
      </c>
      <c r="J179" s="7">
        <v>0.39930555555555558</v>
      </c>
      <c r="K179" s="12">
        <f>IFERROR(IF(FManutencao[[#This Row],[Hora Fim]]="","",(FManutencao[[#This Row],[Data Fim]]+FManutencao[[#This Row],[Hora Fim]])-(FManutencao[[#This Row],[Data Início]]+FManutencao[[#This Row],[Hora Início]])),"Data Fim errada")</f>
        <v>1.0416666664241347E-2</v>
      </c>
    </row>
    <row r="180" spans="2:11" hidden="1" x14ac:dyDescent="0.3">
      <c r="B180" s="2">
        <v>45967</v>
      </c>
      <c r="C180" s="7">
        <v>0.55694444444444446</v>
      </c>
      <c r="D180" s="3" t="s">
        <v>26</v>
      </c>
      <c r="E180" s="3">
        <v>1</v>
      </c>
      <c r="F180" s="3" t="s">
        <v>20</v>
      </c>
      <c r="G180" s="3" t="s">
        <v>21</v>
      </c>
      <c r="H180" s="3" t="s">
        <v>22</v>
      </c>
      <c r="I180" s="2">
        <v>45967</v>
      </c>
      <c r="J180" s="7">
        <v>0.5708333333333333</v>
      </c>
      <c r="K180" s="12">
        <f>IFERROR(IF(FManutencao[[#This Row],[Hora Fim]]="","",(FManutencao[[#This Row],[Data Fim]]+FManutencao[[#This Row],[Hora Fim]])-(FManutencao[[#This Row],[Data Início]]+FManutencao[[#This Row],[Hora Início]])),"Data Fim errada")</f>
        <v>1.3888888890505768E-2</v>
      </c>
    </row>
    <row r="181" spans="2:11" hidden="1" x14ac:dyDescent="0.3">
      <c r="B181" s="2">
        <v>45967</v>
      </c>
      <c r="C181" s="7">
        <v>0.70972222222222225</v>
      </c>
      <c r="D181" s="3" t="s">
        <v>26</v>
      </c>
      <c r="E181" s="3">
        <v>1</v>
      </c>
      <c r="F181" s="3" t="s">
        <v>20</v>
      </c>
      <c r="G181" s="3" t="s">
        <v>21</v>
      </c>
      <c r="H181" s="3" t="s">
        <v>36</v>
      </c>
      <c r="I181" s="2">
        <v>45967</v>
      </c>
      <c r="J181" s="7">
        <v>0.71250000000000002</v>
      </c>
      <c r="K181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182" spans="2:11" hidden="1" x14ac:dyDescent="0.3">
      <c r="B182" s="2">
        <v>45967</v>
      </c>
      <c r="C182" s="7">
        <v>0.71805555555555556</v>
      </c>
      <c r="D182" s="3" t="s">
        <v>26</v>
      </c>
      <c r="E182" s="3">
        <v>1</v>
      </c>
      <c r="F182" s="3" t="s">
        <v>20</v>
      </c>
      <c r="G182" s="3" t="s">
        <v>21</v>
      </c>
      <c r="H182" s="3" t="s">
        <v>36</v>
      </c>
      <c r="I182" s="2">
        <v>45967</v>
      </c>
      <c r="J182" s="7">
        <v>0.72013888888888888</v>
      </c>
      <c r="K182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183" spans="2:11" hidden="1" x14ac:dyDescent="0.3">
      <c r="B183" s="2">
        <v>45967</v>
      </c>
      <c r="C183" s="7">
        <v>0.31597222222222221</v>
      </c>
      <c r="D183" s="3" t="s">
        <v>27</v>
      </c>
      <c r="E183" s="3">
        <v>1</v>
      </c>
      <c r="F183" s="3" t="s">
        <v>20</v>
      </c>
      <c r="G183" s="3" t="s">
        <v>21</v>
      </c>
      <c r="H183" s="3" t="s">
        <v>43</v>
      </c>
      <c r="I183" s="2">
        <v>45967</v>
      </c>
      <c r="J183" s="7">
        <v>0.32083333333333336</v>
      </c>
      <c r="K183" s="12">
        <f>IFERROR(IF(FManutencao[[#This Row],[Hora Fim]]="","",(FManutencao[[#This Row],[Data Fim]]+FManutencao[[#This Row],[Hora Fim]])-(FManutencao[[#This Row],[Data Início]]+FManutencao[[#This Row],[Hora Início]])),"Data Fim errada")</f>
        <v>4.8611111124046147E-3</v>
      </c>
    </row>
    <row r="184" spans="2:11" hidden="1" x14ac:dyDescent="0.3">
      <c r="B184" s="2">
        <v>45967</v>
      </c>
      <c r="C184" s="7">
        <v>0.32083333333333336</v>
      </c>
      <c r="D184" s="3" t="s">
        <v>27</v>
      </c>
      <c r="E184" s="3">
        <v>1</v>
      </c>
      <c r="F184" s="3" t="s">
        <v>24</v>
      </c>
      <c r="G184" s="3" t="s">
        <v>21</v>
      </c>
      <c r="H184" s="3" t="s">
        <v>44</v>
      </c>
      <c r="I184" s="2">
        <v>45967</v>
      </c>
      <c r="J184" s="7">
        <v>0.37569444444444444</v>
      </c>
      <c r="K184" s="12">
        <f>IFERROR(IF(FManutencao[[#This Row],[Hora Fim]]="","",(FManutencao[[#This Row],[Data Fim]]+FManutencao[[#This Row],[Hora Fim]])-(FManutencao[[#This Row],[Data Início]]+FManutencao[[#This Row],[Hora Início]])),"Data Fim errada")</f>
        <v>5.4861111115314998E-2</v>
      </c>
    </row>
    <row r="185" spans="2:11" hidden="1" x14ac:dyDescent="0.3">
      <c r="B185" s="2">
        <v>45967</v>
      </c>
      <c r="C185" s="7">
        <v>0.3888888888888889</v>
      </c>
      <c r="D185" s="3" t="s">
        <v>27</v>
      </c>
      <c r="E185" s="3">
        <v>1</v>
      </c>
      <c r="F185" s="3" t="s">
        <v>24</v>
      </c>
      <c r="G185" s="3" t="s">
        <v>21</v>
      </c>
      <c r="H185" s="3" t="s">
        <v>45</v>
      </c>
      <c r="I185" s="2">
        <v>45967</v>
      </c>
      <c r="J185" s="7">
        <v>0.39930555555555558</v>
      </c>
      <c r="K185" s="12">
        <f>IFERROR(IF(FManutencao[[#This Row],[Hora Fim]]="","",(FManutencao[[#This Row],[Data Fim]]+FManutencao[[#This Row],[Hora Fim]])-(FManutencao[[#This Row],[Data Início]]+FManutencao[[#This Row],[Hora Início]])),"Data Fim errada")</f>
        <v>1.0416666664241347E-2</v>
      </c>
    </row>
    <row r="186" spans="2:11" hidden="1" x14ac:dyDescent="0.3">
      <c r="B186" s="2">
        <v>45967</v>
      </c>
      <c r="C186" s="7">
        <v>0.55694444444444446</v>
      </c>
      <c r="D186" s="3" t="s">
        <v>27</v>
      </c>
      <c r="E186" s="3">
        <v>1</v>
      </c>
      <c r="F186" s="3" t="s">
        <v>20</v>
      </c>
      <c r="G186" s="3" t="s">
        <v>21</v>
      </c>
      <c r="H186" s="3" t="s">
        <v>22</v>
      </c>
      <c r="I186" s="2">
        <v>45967</v>
      </c>
      <c r="J186" s="7">
        <v>0.5708333333333333</v>
      </c>
      <c r="K186" s="12">
        <f>IFERROR(IF(FManutencao[[#This Row],[Hora Fim]]="","",(FManutencao[[#This Row],[Data Fim]]+FManutencao[[#This Row],[Hora Fim]])-(FManutencao[[#This Row],[Data Início]]+FManutencao[[#This Row],[Hora Início]])),"Data Fim errada")</f>
        <v>1.3888888890505768E-2</v>
      </c>
    </row>
    <row r="187" spans="2:11" hidden="1" x14ac:dyDescent="0.3">
      <c r="B187" s="2">
        <v>45967</v>
      </c>
      <c r="C187" s="7">
        <v>0.70972222222222225</v>
      </c>
      <c r="D187" s="3" t="s">
        <v>27</v>
      </c>
      <c r="E187" s="3">
        <v>1</v>
      </c>
      <c r="F187" s="3" t="s">
        <v>20</v>
      </c>
      <c r="G187" s="3" t="s">
        <v>21</v>
      </c>
      <c r="H187" s="3" t="s">
        <v>36</v>
      </c>
      <c r="I187" s="2">
        <v>45967</v>
      </c>
      <c r="J187" s="7">
        <v>0.71250000000000002</v>
      </c>
      <c r="K187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188" spans="2:11" hidden="1" x14ac:dyDescent="0.3">
      <c r="B188" s="2">
        <v>45967</v>
      </c>
      <c r="C188" s="7">
        <v>0.71805555555555556</v>
      </c>
      <c r="D188" s="3" t="s">
        <v>27</v>
      </c>
      <c r="E188" s="3">
        <v>1</v>
      </c>
      <c r="F188" s="3" t="s">
        <v>20</v>
      </c>
      <c r="G188" s="3" t="s">
        <v>21</v>
      </c>
      <c r="H188" s="3" t="s">
        <v>36</v>
      </c>
      <c r="I188" s="2">
        <v>45967</v>
      </c>
      <c r="J188" s="7">
        <v>0.72013888888888888</v>
      </c>
      <c r="K188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189" spans="2:11" hidden="1" x14ac:dyDescent="0.3">
      <c r="B189" s="2">
        <v>45967</v>
      </c>
      <c r="C189" s="7">
        <v>0.31597222222222221</v>
      </c>
      <c r="D189" s="3" t="s">
        <v>28</v>
      </c>
      <c r="E189" s="3">
        <v>1</v>
      </c>
      <c r="F189" s="3" t="s">
        <v>20</v>
      </c>
      <c r="G189" s="3" t="s">
        <v>21</v>
      </c>
      <c r="H189" s="3" t="s">
        <v>43</v>
      </c>
      <c r="I189" s="2">
        <v>45967</v>
      </c>
      <c r="J189" s="7">
        <v>0.32083333333333336</v>
      </c>
      <c r="K189" s="12">
        <f>IFERROR(IF(FManutencao[[#This Row],[Hora Fim]]="","",(FManutencao[[#This Row],[Data Fim]]+FManutencao[[#This Row],[Hora Fim]])-(FManutencao[[#This Row],[Data Início]]+FManutencao[[#This Row],[Hora Início]])),"Data Fim errada")</f>
        <v>4.8611111124046147E-3</v>
      </c>
    </row>
    <row r="190" spans="2:11" hidden="1" x14ac:dyDescent="0.3">
      <c r="B190" s="2">
        <v>45967</v>
      </c>
      <c r="C190" s="7">
        <v>0.32083333333333336</v>
      </c>
      <c r="D190" s="3" t="s">
        <v>28</v>
      </c>
      <c r="E190" s="3">
        <v>1</v>
      </c>
      <c r="F190" s="3" t="s">
        <v>24</v>
      </c>
      <c r="G190" s="3" t="s">
        <v>29</v>
      </c>
      <c r="H190" s="3" t="s">
        <v>44</v>
      </c>
      <c r="I190" s="2">
        <v>45967</v>
      </c>
      <c r="J190" s="7">
        <v>0.37569444444444444</v>
      </c>
      <c r="K190" s="12">
        <f>IFERROR(IF(FManutencao[[#This Row],[Hora Fim]]="","",(FManutencao[[#This Row],[Data Fim]]+FManutencao[[#This Row],[Hora Fim]])-(FManutencao[[#This Row],[Data Início]]+FManutencao[[#This Row],[Hora Início]])),"Data Fim errada")</f>
        <v>5.4861111115314998E-2</v>
      </c>
    </row>
    <row r="191" spans="2:11" hidden="1" x14ac:dyDescent="0.3">
      <c r="B191" s="2">
        <v>45967</v>
      </c>
      <c r="C191" s="7">
        <v>0.3888888888888889</v>
      </c>
      <c r="D191" s="3" t="s">
        <v>28</v>
      </c>
      <c r="E191" s="3">
        <v>1</v>
      </c>
      <c r="F191" s="3" t="s">
        <v>24</v>
      </c>
      <c r="G191" s="3" t="s">
        <v>29</v>
      </c>
      <c r="H191" s="3" t="s">
        <v>45</v>
      </c>
      <c r="I191" s="2">
        <v>45967</v>
      </c>
      <c r="J191" s="7">
        <v>0.39930555555555558</v>
      </c>
      <c r="K191" s="12">
        <f>IFERROR(IF(FManutencao[[#This Row],[Hora Fim]]="","",(FManutencao[[#This Row],[Data Fim]]+FManutencao[[#This Row],[Hora Fim]])-(FManutencao[[#This Row],[Data Início]]+FManutencao[[#This Row],[Hora Início]])),"Data Fim errada")</f>
        <v>1.0416666664241347E-2</v>
      </c>
    </row>
    <row r="192" spans="2:11" hidden="1" x14ac:dyDescent="0.3">
      <c r="B192" s="2">
        <v>45967</v>
      </c>
      <c r="C192" s="7">
        <v>0.55694444444444446</v>
      </c>
      <c r="D192" s="3" t="s">
        <v>28</v>
      </c>
      <c r="E192" s="3">
        <v>1</v>
      </c>
      <c r="F192" s="3" t="s">
        <v>20</v>
      </c>
      <c r="G192" s="3" t="s">
        <v>21</v>
      </c>
      <c r="H192" s="3" t="s">
        <v>22</v>
      </c>
      <c r="I192" s="2">
        <v>45967</v>
      </c>
      <c r="J192" s="7">
        <v>0.5708333333333333</v>
      </c>
      <c r="K192" s="12">
        <f>IFERROR(IF(FManutencao[[#This Row],[Hora Fim]]="","",(FManutencao[[#This Row],[Data Fim]]+FManutencao[[#This Row],[Hora Fim]])-(FManutencao[[#This Row],[Data Início]]+FManutencao[[#This Row],[Hora Início]])),"Data Fim errada")</f>
        <v>1.3888888890505768E-2</v>
      </c>
    </row>
    <row r="193" spans="2:11" hidden="1" x14ac:dyDescent="0.3">
      <c r="B193" s="2">
        <v>45967</v>
      </c>
      <c r="C193" s="7">
        <v>0.70972222222222225</v>
      </c>
      <c r="D193" s="3" t="s">
        <v>28</v>
      </c>
      <c r="E193" s="3">
        <v>1</v>
      </c>
      <c r="F193" s="3" t="s">
        <v>20</v>
      </c>
      <c r="G193" s="3" t="s">
        <v>21</v>
      </c>
      <c r="H193" s="3" t="s">
        <v>36</v>
      </c>
      <c r="I193" s="2">
        <v>45967</v>
      </c>
      <c r="J193" s="7">
        <v>0.71250000000000002</v>
      </c>
      <c r="K193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194" spans="2:11" hidden="1" x14ac:dyDescent="0.3">
      <c r="B194" s="2">
        <v>45967</v>
      </c>
      <c r="C194" s="7">
        <v>0.71805555555555556</v>
      </c>
      <c r="D194" s="3" t="s">
        <v>28</v>
      </c>
      <c r="E194" s="3">
        <v>1</v>
      </c>
      <c r="F194" s="3" t="s">
        <v>20</v>
      </c>
      <c r="G194" s="3" t="s">
        <v>21</v>
      </c>
      <c r="H194" s="3" t="s">
        <v>36</v>
      </c>
      <c r="I194" s="2">
        <v>45967</v>
      </c>
      <c r="J194" s="7">
        <v>0.72013888888888888</v>
      </c>
      <c r="K194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195" spans="2:11" hidden="1" x14ac:dyDescent="0.3">
      <c r="B195" s="2">
        <v>45967</v>
      </c>
      <c r="C195" s="7">
        <v>0.90486111111111112</v>
      </c>
      <c r="D195" s="3" t="s">
        <v>19</v>
      </c>
      <c r="E195" s="3">
        <v>2</v>
      </c>
      <c r="F195" s="3" t="s">
        <v>20</v>
      </c>
      <c r="G195" s="3" t="s">
        <v>21</v>
      </c>
      <c r="H195" s="3" t="s">
        <v>43</v>
      </c>
      <c r="I195" s="2">
        <v>45967</v>
      </c>
      <c r="J195" s="7">
        <v>0.91111111111111109</v>
      </c>
      <c r="K195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196" spans="2:11" hidden="1" x14ac:dyDescent="0.3">
      <c r="B196" s="2">
        <v>45967</v>
      </c>
      <c r="C196" s="7">
        <v>0.9506944444444444</v>
      </c>
      <c r="D196" s="3" t="s">
        <v>19</v>
      </c>
      <c r="E196" s="3">
        <v>2</v>
      </c>
      <c r="F196" s="3" t="s">
        <v>24</v>
      </c>
      <c r="G196" s="3" t="s">
        <v>21</v>
      </c>
      <c r="H196" s="3" t="s">
        <v>46</v>
      </c>
      <c r="I196" s="2">
        <v>45968</v>
      </c>
      <c r="J196" s="7">
        <v>3.3333333333333333E-2</v>
      </c>
      <c r="K196" s="12">
        <f>IFERROR(IF(FManutencao[[#This Row],[Hora Fim]]="","",(FManutencao[[#This Row],[Data Fim]]+FManutencao[[#This Row],[Hora Fim]])-(FManutencao[[#This Row],[Data Início]]+FManutencao[[#This Row],[Hora Início]])),"Data Fim errada")</f>
        <v>8.2638888889050577E-2</v>
      </c>
    </row>
    <row r="197" spans="2:11" hidden="1" x14ac:dyDescent="0.3">
      <c r="B197" s="2">
        <v>45967</v>
      </c>
      <c r="C197" s="7">
        <v>0.24027777777777778</v>
      </c>
      <c r="D197" s="3" t="s">
        <v>19</v>
      </c>
      <c r="E197" s="3">
        <v>2</v>
      </c>
      <c r="F197" s="3" t="s">
        <v>20</v>
      </c>
      <c r="G197" s="3" t="s">
        <v>21</v>
      </c>
      <c r="H197" s="3" t="s">
        <v>47</v>
      </c>
      <c r="I197" s="2">
        <v>45967</v>
      </c>
      <c r="J197" s="7">
        <v>0.24583333333333332</v>
      </c>
      <c r="K197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198" spans="2:11" hidden="1" x14ac:dyDescent="0.3">
      <c r="B198" s="2">
        <v>45967</v>
      </c>
      <c r="C198" s="7">
        <v>0.90486111111111112</v>
      </c>
      <c r="D198" s="3" t="s">
        <v>26</v>
      </c>
      <c r="E198" s="3">
        <v>2</v>
      </c>
      <c r="F198" s="3" t="s">
        <v>20</v>
      </c>
      <c r="G198" s="3" t="s">
        <v>29</v>
      </c>
      <c r="H198" s="3" t="s">
        <v>43</v>
      </c>
      <c r="I198" s="2">
        <v>45967</v>
      </c>
      <c r="J198" s="7">
        <v>0.91111111111111109</v>
      </c>
      <c r="K198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199" spans="2:11" hidden="1" x14ac:dyDescent="0.3">
      <c r="B199" s="2">
        <v>45967</v>
      </c>
      <c r="C199" s="7">
        <v>0.9506944444444444</v>
      </c>
      <c r="D199" s="3" t="s">
        <v>26</v>
      </c>
      <c r="E199" s="3">
        <v>2</v>
      </c>
      <c r="F199" s="3" t="s">
        <v>24</v>
      </c>
      <c r="G199" s="3" t="s">
        <v>29</v>
      </c>
      <c r="H199" s="3" t="s">
        <v>46</v>
      </c>
      <c r="I199" s="2">
        <v>45968</v>
      </c>
      <c r="J199" s="7">
        <v>3.3333333333333333E-2</v>
      </c>
      <c r="K199" s="12">
        <f>IFERROR(IF(FManutencao[[#This Row],[Hora Fim]]="","",(FManutencao[[#This Row],[Data Fim]]+FManutencao[[#This Row],[Hora Fim]])-(FManutencao[[#This Row],[Data Início]]+FManutencao[[#This Row],[Hora Início]])),"Data Fim errada")</f>
        <v>8.2638888889050577E-2</v>
      </c>
    </row>
    <row r="200" spans="2:11" hidden="1" x14ac:dyDescent="0.3">
      <c r="B200" s="2">
        <v>45967</v>
      </c>
      <c r="C200" s="7">
        <v>0.24027777777777778</v>
      </c>
      <c r="D200" s="3" t="s">
        <v>26</v>
      </c>
      <c r="E200" s="3">
        <v>2</v>
      </c>
      <c r="F200" s="3" t="s">
        <v>20</v>
      </c>
      <c r="G200" s="3" t="s">
        <v>21</v>
      </c>
      <c r="H200" s="3" t="s">
        <v>47</v>
      </c>
      <c r="I200" s="2">
        <v>45967</v>
      </c>
      <c r="J200" s="7">
        <v>0.24583333333333332</v>
      </c>
      <c r="K200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201" spans="2:11" hidden="1" x14ac:dyDescent="0.3">
      <c r="B201" s="2">
        <v>45967</v>
      </c>
      <c r="C201" s="7">
        <v>0.90486111111111112</v>
      </c>
      <c r="D201" s="3" t="s">
        <v>27</v>
      </c>
      <c r="E201" s="3">
        <v>2</v>
      </c>
      <c r="F201" s="3" t="s">
        <v>20</v>
      </c>
      <c r="G201" s="3" t="s">
        <v>21</v>
      </c>
      <c r="H201" s="3" t="s">
        <v>43</v>
      </c>
      <c r="I201" s="2">
        <v>45967</v>
      </c>
      <c r="J201" s="7">
        <v>0.91111111111111109</v>
      </c>
      <c r="K201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202" spans="2:11" hidden="1" x14ac:dyDescent="0.3">
      <c r="B202" s="2">
        <v>45967</v>
      </c>
      <c r="C202" s="7">
        <v>0.9506944444444444</v>
      </c>
      <c r="D202" s="3" t="s">
        <v>27</v>
      </c>
      <c r="E202" s="3">
        <v>2</v>
      </c>
      <c r="F202" s="3" t="s">
        <v>24</v>
      </c>
      <c r="G202" s="3" t="s">
        <v>21</v>
      </c>
      <c r="H202" s="3" t="s">
        <v>46</v>
      </c>
      <c r="I202" s="2">
        <v>45968</v>
      </c>
      <c r="J202" s="7">
        <v>3.3333333333333333E-2</v>
      </c>
      <c r="K202" s="12">
        <f>IFERROR(IF(FManutencao[[#This Row],[Hora Fim]]="","",(FManutencao[[#This Row],[Data Fim]]+FManutencao[[#This Row],[Hora Fim]])-(FManutencao[[#This Row],[Data Início]]+FManutencao[[#This Row],[Hora Início]])),"Data Fim errada")</f>
        <v>8.2638888889050577E-2</v>
      </c>
    </row>
    <row r="203" spans="2:11" hidden="1" x14ac:dyDescent="0.3">
      <c r="B203" s="2">
        <v>45967</v>
      </c>
      <c r="C203" s="7">
        <v>0.24027777777777778</v>
      </c>
      <c r="D203" s="3" t="s">
        <v>27</v>
      </c>
      <c r="E203" s="3">
        <v>2</v>
      </c>
      <c r="F203" s="3" t="s">
        <v>20</v>
      </c>
      <c r="G203" s="3" t="s">
        <v>29</v>
      </c>
      <c r="H203" s="3" t="s">
        <v>47</v>
      </c>
      <c r="I203" s="2">
        <v>45967</v>
      </c>
      <c r="J203" s="7">
        <v>0.24583333333333332</v>
      </c>
      <c r="K203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204" spans="2:11" hidden="1" x14ac:dyDescent="0.3">
      <c r="B204" s="2">
        <v>45967</v>
      </c>
      <c r="C204" s="7">
        <v>0.90486111111111112</v>
      </c>
      <c r="D204" s="3" t="s">
        <v>28</v>
      </c>
      <c r="E204" s="3">
        <v>2</v>
      </c>
      <c r="F204" s="3" t="s">
        <v>20</v>
      </c>
      <c r="G204" s="3" t="s">
        <v>21</v>
      </c>
      <c r="H204" s="3" t="s">
        <v>43</v>
      </c>
      <c r="I204" s="2">
        <v>45967</v>
      </c>
      <c r="J204" s="7">
        <v>0.91111111111111109</v>
      </c>
      <c r="K204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205" spans="2:11" hidden="1" x14ac:dyDescent="0.3">
      <c r="B205" s="2">
        <v>45967</v>
      </c>
      <c r="C205" s="7">
        <v>0.9506944444444444</v>
      </c>
      <c r="D205" s="3" t="s">
        <v>28</v>
      </c>
      <c r="E205" s="3">
        <v>2</v>
      </c>
      <c r="F205" s="3" t="s">
        <v>24</v>
      </c>
      <c r="G205" s="3" t="s">
        <v>21</v>
      </c>
      <c r="H205" s="3" t="s">
        <v>46</v>
      </c>
      <c r="I205" s="2">
        <v>45968</v>
      </c>
      <c r="J205" s="7">
        <v>3.3333333333333333E-2</v>
      </c>
      <c r="K205" s="12">
        <f>IFERROR(IF(FManutencao[[#This Row],[Hora Fim]]="","",(FManutencao[[#This Row],[Data Fim]]+FManutencao[[#This Row],[Hora Fim]])-(FManutencao[[#This Row],[Data Início]]+FManutencao[[#This Row],[Hora Início]])),"Data Fim errada")</f>
        <v>8.2638888889050577E-2</v>
      </c>
    </row>
    <row r="206" spans="2:11" hidden="1" x14ac:dyDescent="0.3">
      <c r="B206" s="2">
        <v>45967</v>
      </c>
      <c r="C206" s="7">
        <v>0.24027777777777778</v>
      </c>
      <c r="D206" s="3" t="s">
        <v>28</v>
      </c>
      <c r="E206" s="3">
        <v>2</v>
      </c>
      <c r="F206" s="3" t="s">
        <v>20</v>
      </c>
      <c r="G206" s="3" t="s">
        <v>21</v>
      </c>
      <c r="H206" s="3" t="s">
        <v>47</v>
      </c>
      <c r="I206" s="2">
        <v>45967</v>
      </c>
      <c r="J206" s="7">
        <v>0.24583333333333332</v>
      </c>
      <c r="K206" s="12">
        <f>IFERROR(IF(FManutencao[[#This Row],[Hora Fim]]="","",(FManutencao[[#This Row],[Data Fim]]+FManutencao[[#This Row],[Hora Fim]])-(FManutencao[[#This Row],[Data Início]]+FManutencao[[#This Row],[Hora Início]])),"Data Fim errada")</f>
        <v>5.5555555591126904E-3</v>
      </c>
    </row>
    <row r="207" spans="2:11" hidden="1" x14ac:dyDescent="0.3">
      <c r="B207" s="2">
        <v>45968</v>
      </c>
      <c r="C207" s="7">
        <v>0.33333333333333331</v>
      </c>
      <c r="D207" s="3" t="s">
        <v>19</v>
      </c>
      <c r="E207" s="3">
        <v>1</v>
      </c>
      <c r="F207" s="3" t="s">
        <v>20</v>
      </c>
      <c r="G207" s="3" t="s">
        <v>21</v>
      </c>
      <c r="H207" s="3" t="s">
        <v>22</v>
      </c>
      <c r="I207" s="2">
        <v>45968</v>
      </c>
      <c r="J207" s="7">
        <v>0.34236111111111112</v>
      </c>
      <c r="K207" s="12">
        <f>IFERROR(IF(FManutencao[[#This Row],[Hora Fim]]="","",(FManutencao[[#This Row],[Data Fim]]+FManutencao[[#This Row],[Hora Fim]])-(FManutencao[[#This Row],[Data Início]]+FManutencao[[#This Row],[Hora Início]])),"Data Fim errada")</f>
        <v>9.0277777781011537E-3</v>
      </c>
    </row>
    <row r="208" spans="2:11" hidden="1" x14ac:dyDescent="0.3">
      <c r="B208" s="2">
        <v>45968</v>
      </c>
      <c r="C208" s="7">
        <v>0.37986111111111109</v>
      </c>
      <c r="D208" s="3" t="s">
        <v>19</v>
      </c>
      <c r="E208" s="3">
        <v>1</v>
      </c>
      <c r="F208" s="3" t="s">
        <v>20</v>
      </c>
      <c r="G208" s="3" t="s">
        <v>21</v>
      </c>
      <c r="H208" s="3" t="s">
        <v>36</v>
      </c>
      <c r="I208" s="2">
        <v>45968</v>
      </c>
      <c r="J208" s="7">
        <v>0.3840277777777778</v>
      </c>
      <c r="K208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209" spans="2:11" hidden="1" x14ac:dyDescent="0.3">
      <c r="B209" s="2">
        <v>45968</v>
      </c>
      <c r="C209" s="7">
        <v>0.40763888888888888</v>
      </c>
      <c r="D209" s="3" t="s">
        <v>19</v>
      </c>
      <c r="E209" s="3">
        <v>1</v>
      </c>
      <c r="F209" s="3" t="s">
        <v>24</v>
      </c>
      <c r="G209" s="3" t="s">
        <v>21</v>
      </c>
      <c r="H209" s="3" t="s">
        <v>48</v>
      </c>
      <c r="I209" s="2">
        <v>45968</v>
      </c>
      <c r="J209" s="7">
        <v>0.42777777777777776</v>
      </c>
      <c r="K209" s="12">
        <f>IFERROR(IF(FManutencao[[#This Row],[Hora Fim]]="","",(FManutencao[[#This Row],[Data Fim]]+FManutencao[[#This Row],[Hora Fim]])-(FManutencao[[#This Row],[Data Início]]+FManutencao[[#This Row],[Hora Início]])),"Data Fim errada")</f>
        <v>2.0138888889050577E-2</v>
      </c>
    </row>
    <row r="210" spans="2:11" hidden="1" x14ac:dyDescent="0.3">
      <c r="B210" s="2">
        <v>45968</v>
      </c>
      <c r="C210" s="7">
        <v>0.42777777777777776</v>
      </c>
      <c r="D210" s="3" t="s">
        <v>19</v>
      </c>
      <c r="E210" s="3">
        <v>1</v>
      </c>
      <c r="F210" s="3" t="s">
        <v>24</v>
      </c>
      <c r="G210" s="3" t="s">
        <v>21</v>
      </c>
      <c r="H210" s="3" t="s">
        <v>48</v>
      </c>
      <c r="I210" s="2">
        <v>45968</v>
      </c>
      <c r="J210" s="7">
        <v>0.46666666666666667</v>
      </c>
      <c r="K210" s="12">
        <f>IFERROR(IF(FManutencao[[#This Row],[Hora Fim]]="","",(FManutencao[[#This Row],[Data Fim]]+FManutencao[[#This Row],[Hora Fim]])-(FManutencao[[#This Row],[Data Início]]+FManutencao[[#This Row],[Hora Início]])),"Data Fim errada")</f>
        <v>3.888888889196096E-2</v>
      </c>
    </row>
    <row r="211" spans="2:11" hidden="1" x14ac:dyDescent="0.3">
      <c r="B211" s="2">
        <v>45968</v>
      </c>
      <c r="C211" s="7">
        <v>0.73472222222222228</v>
      </c>
      <c r="D211" s="3" t="s">
        <v>19</v>
      </c>
      <c r="E211" s="3">
        <v>1</v>
      </c>
      <c r="F211" s="3" t="s">
        <v>20</v>
      </c>
      <c r="G211" s="3" t="s">
        <v>21</v>
      </c>
      <c r="H211" s="3" t="s">
        <v>49</v>
      </c>
      <c r="I211" s="2">
        <v>45968</v>
      </c>
      <c r="J211" s="7">
        <v>0.7368055555555556</v>
      </c>
      <c r="K211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12" spans="2:11" hidden="1" x14ac:dyDescent="0.3">
      <c r="B212" s="2">
        <v>45968</v>
      </c>
      <c r="C212" s="7">
        <v>0.74375000000000002</v>
      </c>
      <c r="D212" s="3" t="s">
        <v>19</v>
      </c>
      <c r="E212" s="3">
        <v>1</v>
      </c>
      <c r="F212" s="3" t="s">
        <v>20</v>
      </c>
      <c r="G212" s="3" t="s">
        <v>21</v>
      </c>
      <c r="H212" s="3" t="s">
        <v>22</v>
      </c>
      <c r="I212" s="2">
        <v>45968</v>
      </c>
      <c r="J212" s="7">
        <v>0.75</v>
      </c>
      <c r="K212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213" spans="2:11" hidden="1" x14ac:dyDescent="0.3">
      <c r="B213" s="2">
        <v>45968</v>
      </c>
      <c r="C213" s="7">
        <v>0.33333333333333331</v>
      </c>
      <c r="D213" s="3" t="s">
        <v>26</v>
      </c>
      <c r="E213" s="3">
        <v>1</v>
      </c>
      <c r="F213" s="3" t="s">
        <v>20</v>
      </c>
      <c r="G213" s="3" t="s">
        <v>21</v>
      </c>
      <c r="H213" s="3" t="s">
        <v>22</v>
      </c>
      <c r="I213" s="2">
        <v>45968</v>
      </c>
      <c r="J213" s="7">
        <v>0.34236111111111112</v>
      </c>
      <c r="K213" s="12">
        <f>IFERROR(IF(FManutencao[[#This Row],[Hora Fim]]="","",(FManutencao[[#This Row],[Data Fim]]+FManutencao[[#This Row],[Hora Fim]])-(FManutencao[[#This Row],[Data Início]]+FManutencao[[#This Row],[Hora Início]])),"Data Fim errada")</f>
        <v>9.0277777781011537E-3</v>
      </c>
    </row>
    <row r="214" spans="2:11" hidden="1" x14ac:dyDescent="0.3">
      <c r="B214" s="2">
        <v>45968</v>
      </c>
      <c r="C214" s="7">
        <v>0.37986111111111109</v>
      </c>
      <c r="D214" s="3" t="s">
        <v>26</v>
      </c>
      <c r="E214" s="3">
        <v>1</v>
      </c>
      <c r="F214" s="3" t="s">
        <v>20</v>
      </c>
      <c r="G214" s="3" t="s">
        <v>21</v>
      </c>
      <c r="H214" s="3" t="s">
        <v>36</v>
      </c>
      <c r="I214" s="2">
        <v>45968</v>
      </c>
      <c r="J214" s="7">
        <v>0.3840277777777778</v>
      </c>
      <c r="K214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215" spans="2:11" hidden="1" x14ac:dyDescent="0.3">
      <c r="B215" s="2">
        <v>45968</v>
      </c>
      <c r="C215" s="7">
        <v>0.40763888888888888</v>
      </c>
      <c r="D215" s="3" t="s">
        <v>26</v>
      </c>
      <c r="E215" s="3">
        <v>1</v>
      </c>
      <c r="F215" s="3" t="s">
        <v>24</v>
      </c>
      <c r="G215" s="3" t="s">
        <v>29</v>
      </c>
      <c r="H215" s="3" t="s">
        <v>48</v>
      </c>
      <c r="I215" s="2">
        <v>45968</v>
      </c>
      <c r="J215" s="7">
        <v>0.42777777777777776</v>
      </c>
      <c r="K215" s="12">
        <f>IFERROR(IF(FManutencao[[#This Row],[Hora Fim]]="","",(FManutencao[[#This Row],[Data Fim]]+FManutencao[[#This Row],[Hora Fim]])-(FManutencao[[#This Row],[Data Início]]+FManutencao[[#This Row],[Hora Início]])),"Data Fim errada")</f>
        <v>2.0138888889050577E-2</v>
      </c>
    </row>
    <row r="216" spans="2:11" hidden="1" x14ac:dyDescent="0.3">
      <c r="B216" s="2">
        <v>45968</v>
      </c>
      <c r="C216" s="7">
        <v>0.42777777777777776</v>
      </c>
      <c r="D216" s="3" t="s">
        <v>26</v>
      </c>
      <c r="E216" s="3">
        <v>1</v>
      </c>
      <c r="F216" s="3" t="s">
        <v>24</v>
      </c>
      <c r="G216" s="3" t="s">
        <v>29</v>
      </c>
      <c r="H216" s="3" t="s">
        <v>48</v>
      </c>
      <c r="I216" s="2">
        <v>45968</v>
      </c>
      <c r="J216" s="7">
        <v>0.46666666666666667</v>
      </c>
      <c r="K216" s="12">
        <f>IFERROR(IF(FManutencao[[#This Row],[Hora Fim]]="","",(FManutencao[[#This Row],[Data Fim]]+FManutencao[[#This Row],[Hora Fim]])-(FManutencao[[#This Row],[Data Início]]+FManutencao[[#This Row],[Hora Início]])),"Data Fim errada")</f>
        <v>3.888888889196096E-2</v>
      </c>
    </row>
    <row r="217" spans="2:11" hidden="1" x14ac:dyDescent="0.3">
      <c r="B217" s="2">
        <v>45968</v>
      </c>
      <c r="C217" s="7">
        <v>0.73472222222222228</v>
      </c>
      <c r="D217" s="3" t="s">
        <v>26</v>
      </c>
      <c r="E217" s="3">
        <v>1</v>
      </c>
      <c r="F217" s="3" t="s">
        <v>20</v>
      </c>
      <c r="G217" s="3" t="s">
        <v>21</v>
      </c>
      <c r="H217" s="3" t="s">
        <v>49</v>
      </c>
      <c r="I217" s="2">
        <v>45968</v>
      </c>
      <c r="J217" s="7">
        <v>0.7368055555555556</v>
      </c>
      <c r="K217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18" spans="2:11" hidden="1" x14ac:dyDescent="0.3">
      <c r="B218" s="2">
        <v>45968</v>
      </c>
      <c r="C218" s="7">
        <v>0.74375000000000002</v>
      </c>
      <c r="D218" s="3" t="s">
        <v>26</v>
      </c>
      <c r="E218" s="3">
        <v>1</v>
      </c>
      <c r="F218" s="3" t="s">
        <v>20</v>
      </c>
      <c r="G218" s="3" t="s">
        <v>21</v>
      </c>
      <c r="H218" s="3" t="s">
        <v>22</v>
      </c>
      <c r="I218" s="2">
        <v>45968</v>
      </c>
      <c r="J218" s="7">
        <v>0.75</v>
      </c>
      <c r="K218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219" spans="2:11" hidden="1" x14ac:dyDescent="0.3">
      <c r="B219" s="2">
        <v>45968</v>
      </c>
      <c r="C219" s="7">
        <v>0.33333333333333331</v>
      </c>
      <c r="D219" s="3" t="s">
        <v>27</v>
      </c>
      <c r="E219" s="3">
        <v>1</v>
      </c>
      <c r="F219" s="3" t="s">
        <v>20</v>
      </c>
      <c r="G219" s="3" t="s">
        <v>21</v>
      </c>
      <c r="H219" s="3" t="s">
        <v>22</v>
      </c>
      <c r="I219" s="2">
        <v>45968</v>
      </c>
      <c r="J219" s="7">
        <v>0.34236111111111112</v>
      </c>
      <c r="K219" s="12">
        <f>IFERROR(IF(FManutencao[[#This Row],[Hora Fim]]="","",(FManutencao[[#This Row],[Data Fim]]+FManutencao[[#This Row],[Hora Fim]])-(FManutencao[[#This Row],[Data Início]]+FManutencao[[#This Row],[Hora Início]])),"Data Fim errada")</f>
        <v>9.0277777781011537E-3</v>
      </c>
    </row>
    <row r="220" spans="2:11" hidden="1" x14ac:dyDescent="0.3">
      <c r="B220" s="2">
        <v>45968</v>
      </c>
      <c r="C220" s="7">
        <v>0.37986111111111109</v>
      </c>
      <c r="D220" s="3" t="s">
        <v>27</v>
      </c>
      <c r="E220" s="3">
        <v>1</v>
      </c>
      <c r="F220" s="3" t="s">
        <v>20</v>
      </c>
      <c r="G220" s="3" t="s">
        <v>21</v>
      </c>
      <c r="H220" s="3" t="s">
        <v>36</v>
      </c>
      <c r="I220" s="2">
        <v>45968</v>
      </c>
      <c r="J220" s="7">
        <v>0.3840277777777778</v>
      </c>
      <c r="K220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221" spans="2:11" hidden="1" x14ac:dyDescent="0.3">
      <c r="B221" s="2">
        <v>45968</v>
      </c>
      <c r="C221" s="7">
        <v>0.40763888888888888</v>
      </c>
      <c r="D221" s="3" t="s">
        <v>27</v>
      </c>
      <c r="E221" s="3">
        <v>1</v>
      </c>
      <c r="F221" s="3" t="s">
        <v>24</v>
      </c>
      <c r="G221" s="3" t="s">
        <v>21</v>
      </c>
      <c r="H221" s="3" t="s">
        <v>48</v>
      </c>
      <c r="I221" s="2">
        <v>45968</v>
      </c>
      <c r="J221" s="7">
        <v>0.42777777777777776</v>
      </c>
      <c r="K221" s="12">
        <f>IFERROR(IF(FManutencao[[#This Row],[Hora Fim]]="","",(FManutencao[[#This Row],[Data Fim]]+FManutencao[[#This Row],[Hora Fim]])-(FManutencao[[#This Row],[Data Início]]+FManutencao[[#This Row],[Hora Início]])),"Data Fim errada")</f>
        <v>2.0138888889050577E-2</v>
      </c>
    </row>
    <row r="222" spans="2:11" hidden="1" x14ac:dyDescent="0.3">
      <c r="B222" s="2">
        <v>45968</v>
      </c>
      <c r="C222" s="7">
        <v>0.42777777777777776</v>
      </c>
      <c r="D222" s="3" t="s">
        <v>27</v>
      </c>
      <c r="E222" s="3">
        <v>1</v>
      </c>
      <c r="F222" s="3" t="s">
        <v>24</v>
      </c>
      <c r="G222" s="3" t="s">
        <v>21</v>
      </c>
      <c r="H222" s="3" t="s">
        <v>48</v>
      </c>
      <c r="I222" s="2">
        <v>45968</v>
      </c>
      <c r="J222" s="7">
        <v>0.46666666666666667</v>
      </c>
      <c r="K222" s="12">
        <f>IFERROR(IF(FManutencao[[#This Row],[Hora Fim]]="","",(FManutencao[[#This Row],[Data Fim]]+FManutencao[[#This Row],[Hora Fim]])-(FManutencao[[#This Row],[Data Início]]+FManutencao[[#This Row],[Hora Início]])),"Data Fim errada")</f>
        <v>3.888888889196096E-2</v>
      </c>
    </row>
    <row r="223" spans="2:11" hidden="1" x14ac:dyDescent="0.3">
      <c r="B223" s="2">
        <v>45968</v>
      </c>
      <c r="C223" s="7">
        <v>0.73472222222222228</v>
      </c>
      <c r="D223" s="3" t="s">
        <v>27</v>
      </c>
      <c r="E223" s="3">
        <v>1</v>
      </c>
      <c r="F223" s="3" t="s">
        <v>20</v>
      </c>
      <c r="G223" s="3" t="s">
        <v>21</v>
      </c>
      <c r="H223" s="3" t="s">
        <v>49</v>
      </c>
      <c r="I223" s="2">
        <v>45968</v>
      </c>
      <c r="J223" s="7">
        <v>0.7368055555555556</v>
      </c>
      <c r="K223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24" spans="2:11" hidden="1" x14ac:dyDescent="0.3">
      <c r="B224" s="2">
        <v>45968</v>
      </c>
      <c r="C224" s="7">
        <v>0.74375000000000002</v>
      </c>
      <c r="D224" s="3" t="s">
        <v>27</v>
      </c>
      <c r="E224" s="3">
        <v>1</v>
      </c>
      <c r="F224" s="3" t="s">
        <v>20</v>
      </c>
      <c r="G224" s="3" t="s">
        <v>21</v>
      </c>
      <c r="H224" s="3" t="s">
        <v>22</v>
      </c>
      <c r="I224" s="2">
        <v>45968</v>
      </c>
      <c r="J224" s="7">
        <v>0.75</v>
      </c>
      <c r="K224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225" spans="2:11" hidden="1" x14ac:dyDescent="0.3">
      <c r="B225" s="2">
        <v>45968</v>
      </c>
      <c r="C225" s="7">
        <v>0.33333333333333331</v>
      </c>
      <c r="D225" s="3" t="s">
        <v>28</v>
      </c>
      <c r="E225" s="3">
        <v>1</v>
      </c>
      <c r="F225" s="3" t="s">
        <v>20</v>
      </c>
      <c r="G225" s="3" t="s">
        <v>21</v>
      </c>
      <c r="H225" s="3" t="s">
        <v>22</v>
      </c>
      <c r="I225" s="2">
        <v>45968</v>
      </c>
      <c r="J225" s="7">
        <v>0.34236111111111112</v>
      </c>
      <c r="K225" s="12">
        <f>IFERROR(IF(FManutencao[[#This Row],[Hora Fim]]="","",(FManutencao[[#This Row],[Data Fim]]+FManutencao[[#This Row],[Hora Fim]])-(FManutencao[[#This Row],[Data Início]]+FManutencao[[#This Row],[Hora Início]])),"Data Fim errada")</f>
        <v>9.0277777781011537E-3</v>
      </c>
    </row>
    <row r="226" spans="2:11" hidden="1" x14ac:dyDescent="0.3">
      <c r="B226" s="2">
        <v>45968</v>
      </c>
      <c r="C226" s="7">
        <v>0.37986111111111109</v>
      </c>
      <c r="D226" s="3" t="s">
        <v>28</v>
      </c>
      <c r="E226" s="3">
        <v>1</v>
      </c>
      <c r="F226" s="3" t="s">
        <v>20</v>
      </c>
      <c r="G226" s="3" t="s">
        <v>21</v>
      </c>
      <c r="H226" s="3" t="s">
        <v>36</v>
      </c>
      <c r="I226" s="2">
        <v>45968</v>
      </c>
      <c r="J226" s="7">
        <v>0.3840277777777778</v>
      </c>
      <c r="K226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227" spans="2:11" hidden="1" x14ac:dyDescent="0.3">
      <c r="B227" s="2">
        <v>45968</v>
      </c>
      <c r="C227" s="7">
        <v>0.40763888888888888</v>
      </c>
      <c r="D227" s="3" t="s">
        <v>28</v>
      </c>
      <c r="E227" s="3">
        <v>1</v>
      </c>
      <c r="F227" s="3" t="s">
        <v>24</v>
      </c>
      <c r="G227" s="3" t="s">
        <v>21</v>
      </c>
      <c r="H227" s="3" t="s">
        <v>48</v>
      </c>
      <c r="I227" s="2">
        <v>45968</v>
      </c>
      <c r="J227" s="7">
        <v>0.42777777777777776</v>
      </c>
      <c r="K227" s="12">
        <f>IFERROR(IF(FManutencao[[#This Row],[Hora Fim]]="","",(FManutencao[[#This Row],[Data Fim]]+FManutencao[[#This Row],[Hora Fim]])-(FManutencao[[#This Row],[Data Início]]+FManutencao[[#This Row],[Hora Início]])),"Data Fim errada")</f>
        <v>2.0138888889050577E-2</v>
      </c>
    </row>
    <row r="228" spans="2:11" hidden="1" x14ac:dyDescent="0.3">
      <c r="B228" s="2">
        <v>45968</v>
      </c>
      <c r="C228" s="7">
        <v>0.42777777777777776</v>
      </c>
      <c r="D228" s="3" t="s">
        <v>28</v>
      </c>
      <c r="E228" s="3">
        <v>1</v>
      </c>
      <c r="F228" s="3" t="s">
        <v>24</v>
      </c>
      <c r="G228" s="3" t="s">
        <v>21</v>
      </c>
      <c r="H228" s="3" t="s">
        <v>48</v>
      </c>
      <c r="I228" s="2">
        <v>45968</v>
      </c>
      <c r="J228" s="7">
        <v>0.46666666666666667</v>
      </c>
      <c r="K228" s="12">
        <f>IFERROR(IF(FManutencao[[#This Row],[Hora Fim]]="","",(FManutencao[[#This Row],[Data Fim]]+FManutencao[[#This Row],[Hora Fim]])-(FManutencao[[#This Row],[Data Início]]+FManutencao[[#This Row],[Hora Início]])),"Data Fim errada")</f>
        <v>3.888888889196096E-2</v>
      </c>
    </row>
    <row r="229" spans="2:11" hidden="1" x14ac:dyDescent="0.3">
      <c r="B229" s="2">
        <v>45968</v>
      </c>
      <c r="C229" s="7">
        <v>0.73472222222222228</v>
      </c>
      <c r="D229" s="3" t="s">
        <v>28</v>
      </c>
      <c r="E229" s="3">
        <v>1</v>
      </c>
      <c r="F229" s="3" t="s">
        <v>20</v>
      </c>
      <c r="G229" s="3" t="s">
        <v>21</v>
      </c>
      <c r="H229" s="3" t="s">
        <v>49</v>
      </c>
      <c r="I229" s="2">
        <v>45968</v>
      </c>
      <c r="J229" s="7">
        <v>0.7368055555555556</v>
      </c>
      <c r="K229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30" spans="2:11" hidden="1" x14ac:dyDescent="0.3">
      <c r="B230" s="2">
        <v>45968</v>
      </c>
      <c r="C230" s="7">
        <v>0.74375000000000002</v>
      </c>
      <c r="D230" s="3" t="s">
        <v>28</v>
      </c>
      <c r="E230" s="3">
        <v>1</v>
      </c>
      <c r="F230" s="3" t="s">
        <v>20</v>
      </c>
      <c r="G230" s="3" t="s">
        <v>21</v>
      </c>
      <c r="H230" s="3" t="s">
        <v>22</v>
      </c>
      <c r="I230" s="2">
        <v>45968</v>
      </c>
      <c r="J230" s="7">
        <v>0.75</v>
      </c>
      <c r="K230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231" spans="2:11" hidden="1" x14ac:dyDescent="0.3">
      <c r="B231" s="2">
        <v>45968</v>
      </c>
      <c r="C231" s="7">
        <v>0.17777777777777778</v>
      </c>
      <c r="D231" s="3" t="s">
        <v>19</v>
      </c>
      <c r="E231" s="3">
        <v>2</v>
      </c>
      <c r="F231" s="3" t="s">
        <v>20</v>
      </c>
      <c r="G231" s="3" t="s">
        <v>21</v>
      </c>
      <c r="H231" s="3" t="s">
        <v>36</v>
      </c>
      <c r="I231" s="2">
        <v>45968</v>
      </c>
      <c r="J231" s="7">
        <v>0.20624999999999999</v>
      </c>
      <c r="K231" s="12">
        <f>IFERROR(IF(FManutencao[[#This Row],[Hora Fim]]="","",(FManutencao[[#This Row],[Data Fim]]+FManutencao[[#This Row],[Hora Fim]])-(FManutencao[[#This Row],[Data Início]]+FManutencao[[#This Row],[Hora Início]])),"Data Fim errada")</f>
        <v>2.8472222227719612E-2</v>
      </c>
    </row>
    <row r="232" spans="2:11" hidden="1" x14ac:dyDescent="0.3">
      <c r="B232" s="2">
        <v>45968</v>
      </c>
      <c r="C232" s="7">
        <v>0.20833333333333334</v>
      </c>
      <c r="D232" s="3" t="s">
        <v>19</v>
      </c>
      <c r="E232" s="3">
        <v>2</v>
      </c>
      <c r="F232" s="3" t="s">
        <v>20</v>
      </c>
      <c r="G232" s="3" t="s">
        <v>21</v>
      </c>
      <c r="H232" s="3" t="s">
        <v>50</v>
      </c>
      <c r="I232" s="2">
        <v>45968</v>
      </c>
      <c r="J232" s="7">
        <v>0.22569444444444445</v>
      </c>
      <c r="K232" s="12">
        <f>IFERROR(IF(FManutencao[[#This Row],[Hora Fim]]="","",(FManutencao[[#This Row],[Data Fim]]+FManutencao[[#This Row],[Hora Fim]])-(FManutencao[[#This Row],[Data Início]]+FManutencao[[#This Row],[Hora Início]])),"Data Fim errada")</f>
        <v>1.7361111109494232E-2</v>
      </c>
    </row>
    <row r="233" spans="2:11" hidden="1" x14ac:dyDescent="0.3">
      <c r="B233" s="2">
        <v>45968</v>
      </c>
      <c r="C233" s="7">
        <v>0.26458333333333334</v>
      </c>
      <c r="D233" s="3" t="s">
        <v>19</v>
      </c>
      <c r="E233" s="3">
        <v>2</v>
      </c>
      <c r="F233" s="3" t="s">
        <v>24</v>
      </c>
      <c r="G233" s="3" t="s">
        <v>21</v>
      </c>
      <c r="H233" s="3" t="s">
        <v>51</v>
      </c>
      <c r="I233" s="2">
        <v>45968</v>
      </c>
      <c r="J233" s="7">
        <v>0.29166666666666669</v>
      </c>
      <c r="K233" s="12">
        <f>IFERROR(IF(FManutencao[[#This Row],[Hora Fim]]="","",(FManutencao[[#This Row],[Data Fim]]+FManutencao[[#This Row],[Hora Fim]])-(FManutencao[[#This Row],[Data Início]]+FManutencao[[#This Row],[Hora Início]])),"Data Fim errada")</f>
        <v>2.7083333334303461E-2</v>
      </c>
    </row>
    <row r="234" spans="2:11" hidden="1" x14ac:dyDescent="0.3">
      <c r="B234" s="2">
        <v>45968</v>
      </c>
      <c r="C234" s="7">
        <v>0.17777777777777778</v>
      </c>
      <c r="D234" s="3" t="s">
        <v>26</v>
      </c>
      <c r="E234" s="3">
        <v>2</v>
      </c>
      <c r="F234" s="3" t="s">
        <v>20</v>
      </c>
      <c r="G234" s="3" t="s">
        <v>21</v>
      </c>
      <c r="H234" s="3" t="s">
        <v>36</v>
      </c>
      <c r="I234" s="2">
        <v>45968</v>
      </c>
      <c r="J234" s="7">
        <v>0.20624999999999999</v>
      </c>
      <c r="K234" s="12">
        <f>IFERROR(IF(FManutencao[[#This Row],[Hora Fim]]="","",(FManutencao[[#This Row],[Data Fim]]+FManutencao[[#This Row],[Hora Fim]])-(FManutencao[[#This Row],[Data Início]]+FManutencao[[#This Row],[Hora Início]])),"Data Fim errada")</f>
        <v>2.8472222227719612E-2</v>
      </c>
    </row>
    <row r="235" spans="2:11" hidden="1" x14ac:dyDescent="0.3">
      <c r="B235" s="2">
        <v>45968</v>
      </c>
      <c r="C235" s="7">
        <v>0.20833333333333334</v>
      </c>
      <c r="D235" s="3" t="s">
        <v>26</v>
      </c>
      <c r="E235" s="3">
        <v>2</v>
      </c>
      <c r="F235" s="3" t="s">
        <v>20</v>
      </c>
      <c r="G235" s="3" t="s">
        <v>21</v>
      </c>
      <c r="H235" s="3" t="s">
        <v>50</v>
      </c>
      <c r="I235" s="2">
        <v>45968</v>
      </c>
      <c r="J235" s="7">
        <v>0.22569444444444445</v>
      </c>
      <c r="K235" s="12">
        <f>IFERROR(IF(FManutencao[[#This Row],[Hora Fim]]="","",(FManutencao[[#This Row],[Data Fim]]+FManutencao[[#This Row],[Hora Fim]])-(FManutencao[[#This Row],[Data Início]]+FManutencao[[#This Row],[Hora Início]])),"Data Fim errada")</f>
        <v>1.7361111109494232E-2</v>
      </c>
    </row>
    <row r="236" spans="2:11" hidden="1" x14ac:dyDescent="0.3">
      <c r="B236" s="2">
        <v>45968</v>
      </c>
      <c r="C236" s="7">
        <v>0.26458333333333334</v>
      </c>
      <c r="D236" s="3" t="s">
        <v>26</v>
      </c>
      <c r="E236" s="3">
        <v>2</v>
      </c>
      <c r="F236" s="3" t="s">
        <v>24</v>
      </c>
      <c r="G236" s="3" t="s">
        <v>21</v>
      </c>
      <c r="H236" s="3" t="s">
        <v>51</v>
      </c>
      <c r="I236" s="2">
        <v>45968</v>
      </c>
      <c r="J236" s="7">
        <v>0.29166666666666669</v>
      </c>
      <c r="K236" s="12">
        <f>IFERROR(IF(FManutencao[[#This Row],[Hora Fim]]="","",(FManutencao[[#This Row],[Data Fim]]+FManutencao[[#This Row],[Hora Fim]])-(FManutencao[[#This Row],[Data Início]]+FManutencao[[#This Row],[Hora Início]])),"Data Fim errada")</f>
        <v>2.7083333334303461E-2</v>
      </c>
    </row>
    <row r="237" spans="2:11" hidden="1" x14ac:dyDescent="0.3">
      <c r="B237" s="2">
        <v>45968</v>
      </c>
      <c r="C237" s="7">
        <v>0.17777777777777778</v>
      </c>
      <c r="D237" s="3" t="s">
        <v>27</v>
      </c>
      <c r="E237" s="3">
        <v>2</v>
      </c>
      <c r="F237" s="3" t="s">
        <v>20</v>
      </c>
      <c r="G237" s="3" t="s">
        <v>21</v>
      </c>
      <c r="H237" s="3" t="s">
        <v>36</v>
      </c>
      <c r="I237" s="2">
        <v>45968</v>
      </c>
      <c r="J237" s="7">
        <v>0.20624999999999999</v>
      </c>
      <c r="K237" s="12">
        <f>IFERROR(IF(FManutencao[[#This Row],[Hora Fim]]="","",(FManutencao[[#This Row],[Data Fim]]+FManutencao[[#This Row],[Hora Fim]])-(FManutencao[[#This Row],[Data Início]]+FManutencao[[#This Row],[Hora Início]])),"Data Fim errada")</f>
        <v>2.8472222227719612E-2</v>
      </c>
    </row>
    <row r="238" spans="2:11" hidden="1" x14ac:dyDescent="0.3">
      <c r="B238" s="2">
        <v>45968</v>
      </c>
      <c r="C238" s="7">
        <v>0.20833333333333334</v>
      </c>
      <c r="D238" s="3" t="s">
        <v>27</v>
      </c>
      <c r="E238" s="3">
        <v>2</v>
      </c>
      <c r="F238" s="3" t="s">
        <v>20</v>
      </c>
      <c r="G238" s="3" t="s">
        <v>29</v>
      </c>
      <c r="H238" s="3" t="s">
        <v>50</v>
      </c>
      <c r="I238" s="2">
        <v>45968</v>
      </c>
      <c r="J238" s="7">
        <v>0.22569444444444445</v>
      </c>
      <c r="K238" s="12">
        <f>IFERROR(IF(FManutencao[[#This Row],[Hora Fim]]="","",(FManutencao[[#This Row],[Data Fim]]+FManutencao[[#This Row],[Hora Fim]])-(FManutencao[[#This Row],[Data Início]]+FManutencao[[#This Row],[Hora Início]])),"Data Fim errada")</f>
        <v>1.7361111109494232E-2</v>
      </c>
    </row>
    <row r="239" spans="2:11" hidden="1" x14ac:dyDescent="0.3">
      <c r="B239" s="2">
        <v>45968</v>
      </c>
      <c r="C239" s="7">
        <v>0.26458333333333334</v>
      </c>
      <c r="D239" s="3" t="s">
        <v>27</v>
      </c>
      <c r="E239" s="3">
        <v>2</v>
      </c>
      <c r="F239" s="3" t="s">
        <v>24</v>
      </c>
      <c r="G239" s="3" t="s">
        <v>29</v>
      </c>
      <c r="H239" s="3" t="s">
        <v>51</v>
      </c>
      <c r="I239" s="2">
        <v>45968</v>
      </c>
      <c r="J239" s="7">
        <v>0.29166666666666669</v>
      </c>
      <c r="K239" s="12">
        <f>IFERROR(IF(FManutencao[[#This Row],[Hora Fim]]="","",(FManutencao[[#This Row],[Data Fim]]+FManutencao[[#This Row],[Hora Fim]])-(FManutencao[[#This Row],[Data Início]]+FManutencao[[#This Row],[Hora Início]])),"Data Fim errada")</f>
        <v>2.7083333334303461E-2</v>
      </c>
    </row>
    <row r="240" spans="2:11" hidden="1" x14ac:dyDescent="0.3">
      <c r="B240" s="2">
        <v>45968</v>
      </c>
      <c r="C240" s="7">
        <v>0.17777777777777778</v>
      </c>
      <c r="D240" s="3" t="s">
        <v>28</v>
      </c>
      <c r="E240" s="3">
        <v>2</v>
      </c>
      <c r="F240" s="3" t="s">
        <v>20</v>
      </c>
      <c r="G240" s="3" t="s">
        <v>21</v>
      </c>
      <c r="H240" s="3" t="s">
        <v>36</v>
      </c>
      <c r="I240" s="2">
        <v>45968</v>
      </c>
      <c r="J240" s="7">
        <v>0.20624999999999999</v>
      </c>
      <c r="K240" s="12">
        <f>IFERROR(IF(FManutencao[[#This Row],[Hora Fim]]="","",(FManutencao[[#This Row],[Data Fim]]+FManutencao[[#This Row],[Hora Fim]])-(FManutencao[[#This Row],[Data Início]]+FManutencao[[#This Row],[Hora Início]])),"Data Fim errada")</f>
        <v>2.8472222227719612E-2</v>
      </c>
    </row>
    <row r="241" spans="2:11" hidden="1" x14ac:dyDescent="0.3">
      <c r="B241" s="2">
        <v>45968</v>
      </c>
      <c r="C241" s="7">
        <v>0.20833333333333334</v>
      </c>
      <c r="D241" s="3" t="s">
        <v>28</v>
      </c>
      <c r="E241" s="3">
        <v>2</v>
      </c>
      <c r="F241" s="3" t="s">
        <v>20</v>
      </c>
      <c r="G241" s="3" t="s">
        <v>21</v>
      </c>
      <c r="H241" s="3" t="s">
        <v>50</v>
      </c>
      <c r="I241" s="2">
        <v>45968</v>
      </c>
      <c r="J241" s="7">
        <v>0.22569444444444445</v>
      </c>
      <c r="K241" s="12">
        <f>IFERROR(IF(FManutencao[[#This Row],[Hora Fim]]="","",(FManutencao[[#This Row],[Data Fim]]+FManutencao[[#This Row],[Hora Fim]])-(FManutencao[[#This Row],[Data Início]]+FManutencao[[#This Row],[Hora Início]])),"Data Fim errada")</f>
        <v>1.7361111109494232E-2</v>
      </c>
    </row>
    <row r="242" spans="2:11" hidden="1" x14ac:dyDescent="0.3">
      <c r="B242" s="2">
        <v>45968</v>
      </c>
      <c r="C242" s="7">
        <v>0.26458333333333334</v>
      </c>
      <c r="D242" s="3" t="s">
        <v>28</v>
      </c>
      <c r="E242" s="3">
        <v>2</v>
      </c>
      <c r="F242" s="3" t="s">
        <v>24</v>
      </c>
      <c r="G242" s="3" t="s">
        <v>21</v>
      </c>
      <c r="H242" s="3" t="s">
        <v>51</v>
      </c>
      <c r="I242" s="2">
        <v>45968</v>
      </c>
      <c r="J242" s="7">
        <v>0.29166666666666669</v>
      </c>
      <c r="K242" s="12">
        <f>IFERROR(IF(FManutencao[[#This Row],[Hora Fim]]="","",(FManutencao[[#This Row],[Data Fim]]+FManutencao[[#This Row],[Hora Fim]])-(FManutencao[[#This Row],[Data Início]]+FManutencao[[#This Row],[Hora Início]])),"Data Fim errada")</f>
        <v>2.7083333334303461E-2</v>
      </c>
    </row>
    <row r="243" spans="2:11" hidden="1" x14ac:dyDescent="0.3">
      <c r="B243" s="2">
        <v>45969</v>
      </c>
      <c r="C243" s="7">
        <v>0.29166666666666669</v>
      </c>
      <c r="D243" s="3" t="s">
        <v>19</v>
      </c>
      <c r="E243" s="3">
        <v>1</v>
      </c>
      <c r="F243" s="3" t="s">
        <v>24</v>
      </c>
      <c r="G243" s="3" t="s">
        <v>21</v>
      </c>
      <c r="H243" s="3" t="s">
        <v>51</v>
      </c>
      <c r="I243" s="2">
        <v>45969</v>
      </c>
      <c r="J243" s="7">
        <v>0.79166666666666663</v>
      </c>
      <c r="K243" s="12">
        <f>IFERROR(IF(FManutencao[[#This Row],[Hora Fim]]="","",(FManutencao[[#This Row],[Data Fim]]+FManutencao[[#This Row],[Hora Fim]])-(FManutencao[[#This Row],[Data Início]]+FManutencao[[#This Row],[Hora Início]])),"Data Fim errada")</f>
        <v>0.5</v>
      </c>
    </row>
    <row r="244" spans="2:11" hidden="1" x14ac:dyDescent="0.3">
      <c r="B244" s="2">
        <v>45969</v>
      </c>
      <c r="C244" s="7">
        <v>0.29166666666666669</v>
      </c>
      <c r="D244" s="3" t="s">
        <v>26</v>
      </c>
      <c r="E244" s="3">
        <v>1</v>
      </c>
      <c r="F244" s="3" t="s">
        <v>24</v>
      </c>
      <c r="G244" s="3" t="s">
        <v>21</v>
      </c>
      <c r="H244" s="3" t="s">
        <v>51</v>
      </c>
      <c r="I244" s="2">
        <v>45969</v>
      </c>
      <c r="J244" s="7">
        <v>0.79166666666666663</v>
      </c>
      <c r="K244" s="12">
        <f>IFERROR(IF(FManutencao[[#This Row],[Hora Fim]]="","",(FManutencao[[#This Row],[Data Fim]]+FManutencao[[#This Row],[Hora Fim]])-(FManutencao[[#This Row],[Data Início]]+FManutencao[[#This Row],[Hora Início]])),"Data Fim errada")</f>
        <v>0.5</v>
      </c>
    </row>
    <row r="245" spans="2:11" hidden="1" x14ac:dyDescent="0.3">
      <c r="B245" s="2">
        <v>45969</v>
      </c>
      <c r="C245" s="7">
        <v>0.29166666666666669</v>
      </c>
      <c r="D245" s="3" t="s">
        <v>27</v>
      </c>
      <c r="E245" s="3">
        <v>1</v>
      </c>
      <c r="F245" s="3" t="s">
        <v>24</v>
      </c>
      <c r="G245" s="3" t="s">
        <v>29</v>
      </c>
      <c r="H245" s="3" t="s">
        <v>51</v>
      </c>
      <c r="I245" s="2">
        <v>45969</v>
      </c>
      <c r="J245" s="7">
        <v>0.79166666666666663</v>
      </c>
      <c r="K245" s="12">
        <f>IFERROR(IF(FManutencao[[#This Row],[Hora Fim]]="","",(FManutencao[[#This Row],[Data Fim]]+FManutencao[[#This Row],[Hora Fim]])-(FManutencao[[#This Row],[Data Início]]+FManutencao[[#This Row],[Hora Início]])),"Data Fim errada")</f>
        <v>0.5</v>
      </c>
    </row>
    <row r="246" spans="2:11" hidden="1" x14ac:dyDescent="0.3">
      <c r="B246" s="2">
        <v>45969</v>
      </c>
      <c r="C246" s="7">
        <v>0.29166666666666669</v>
      </c>
      <c r="D246" s="3" t="s">
        <v>28</v>
      </c>
      <c r="E246" s="3">
        <v>1</v>
      </c>
      <c r="F246" s="3" t="s">
        <v>24</v>
      </c>
      <c r="G246" s="3" t="s">
        <v>21</v>
      </c>
      <c r="H246" s="3" t="s">
        <v>51</v>
      </c>
      <c r="I246" s="2">
        <v>45969</v>
      </c>
      <c r="J246" s="7">
        <v>0.79166666666666663</v>
      </c>
      <c r="K246" s="12">
        <f>IFERROR(IF(FManutencao[[#This Row],[Hora Fim]]="","",(FManutencao[[#This Row],[Data Fim]]+FManutencao[[#This Row],[Hora Fim]])-(FManutencao[[#This Row],[Data Início]]+FManutencao[[#This Row],[Hora Início]])),"Data Fim errada")</f>
        <v>0.5</v>
      </c>
    </row>
    <row r="247" spans="2:11" hidden="1" x14ac:dyDescent="0.3">
      <c r="B247" s="2">
        <v>45969</v>
      </c>
      <c r="C247" s="7">
        <v>0.79166666666666663</v>
      </c>
      <c r="D247" s="3" t="s">
        <v>19</v>
      </c>
      <c r="E247" s="3">
        <v>2</v>
      </c>
      <c r="F247" s="3" t="s">
        <v>24</v>
      </c>
      <c r="G247" s="3" t="s">
        <v>21</v>
      </c>
      <c r="H247" s="3" t="s">
        <v>51</v>
      </c>
      <c r="I247" s="2">
        <v>45970</v>
      </c>
      <c r="J247" s="7">
        <v>0.29166666666666669</v>
      </c>
      <c r="K247" s="12">
        <f>IFERROR(IF(FManutencao[[#This Row],[Hora Fim]]="","",(FManutencao[[#This Row],[Data Fim]]+FManutencao[[#This Row],[Hora Fim]])-(FManutencao[[#This Row],[Data Início]]+FManutencao[[#This Row],[Hora Início]])),"Data Fim errada")</f>
        <v>0.5</v>
      </c>
    </row>
    <row r="248" spans="2:11" hidden="1" x14ac:dyDescent="0.3">
      <c r="B248" s="2">
        <v>45969</v>
      </c>
      <c r="C248" s="7">
        <v>0.79166666666666663</v>
      </c>
      <c r="D248" s="3" t="s">
        <v>26</v>
      </c>
      <c r="E248" s="3">
        <v>2</v>
      </c>
      <c r="F248" s="3" t="s">
        <v>24</v>
      </c>
      <c r="G248" s="3" t="s">
        <v>21</v>
      </c>
      <c r="H248" s="3" t="s">
        <v>51</v>
      </c>
      <c r="I248" s="2">
        <v>45970</v>
      </c>
      <c r="J248" s="7">
        <v>0.29166666666666669</v>
      </c>
      <c r="K248" s="12">
        <f>IFERROR(IF(FManutencao[[#This Row],[Hora Fim]]="","",(FManutencao[[#This Row],[Data Fim]]+FManutencao[[#This Row],[Hora Fim]])-(FManutencao[[#This Row],[Data Início]]+FManutencao[[#This Row],[Hora Início]])),"Data Fim errada")</f>
        <v>0.5</v>
      </c>
    </row>
    <row r="249" spans="2:11" hidden="1" x14ac:dyDescent="0.3">
      <c r="B249" s="2">
        <v>45969</v>
      </c>
      <c r="C249" s="7">
        <v>0.79166666666666663</v>
      </c>
      <c r="D249" s="3" t="s">
        <v>27</v>
      </c>
      <c r="E249" s="3">
        <v>2</v>
      </c>
      <c r="F249" s="3" t="s">
        <v>24</v>
      </c>
      <c r="G249" s="3" t="s">
        <v>29</v>
      </c>
      <c r="H249" s="3" t="s">
        <v>51</v>
      </c>
      <c r="I249" s="2">
        <v>45970</v>
      </c>
      <c r="J249" s="7">
        <v>0.29166666666666669</v>
      </c>
      <c r="K249" s="12">
        <f>IFERROR(IF(FManutencao[[#This Row],[Hora Fim]]="","",(FManutencao[[#This Row],[Data Fim]]+FManutencao[[#This Row],[Hora Fim]])-(FManutencao[[#This Row],[Data Início]]+FManutencao[[#This Row],[Hora Início]])),"Data Fim errada")</f>
        <v>0.5</v>
      </c>
    </row>
    <row r="250" spans="2:11" hidden="1" x14ac:dyDescent="0.3">
      <c r="B250" s="2">
        <v>45969</v>
      </c>
      <c r="C250" s="7">
        <v>0.79166666666666663</v>
      </c>
      <c r="D250" s="3" t="s">
        <v>28</v>
      </c>
      <c r="E250" s="3">
        <v>2</v>
      </c>
      <c r="F250" s="3" t="s">
        <v>24</v>
      </c>
      <c r="G250" s="3" t="s">
        <v>21</v>
      </c>
      <c r="H250" s="3" t="s">
        <v>51</v>
      </c>
      <c r="I250" s="2">
        <v>45970</v>
      </c>
      <c r="J250" s="7">
        <v>0.29166666666666669</v>
      </c>
      <c r="K250" s="12">
        <f>IFERROR(IF(FManutencao[[#This Row],[Hora Fim]]="","",(FManutencao[[#This Row],[Data Fim]]+FManutencao[[#This Row],[Hora Fim]])-(FManutencao[[#This Row],[Data Início]]+FManutencao[[#This Row],[Hora Início]])),"Data Fim errada")</f>
        <v>0.5</v>
      </c>
    </row>
    <row r="251" spans="2:11" hidden="1" x14ac:dyDescent="0.3">
      <c r="B251" s="2">
        <v>45970</v>
      </c>
      <c r="C251" s="7">
        <v>0.29166666666666669</v>
      </c>
      <c r="D251" s="3" t="s">
        <v>19</v>
      </c>
      <c r="E251" s="3">
        <v>1</v>
      </c>
      <c r="F251" s="3" t="s">
        <v>20</v>
      </c>
      <c r="G251" s="3" t="s">
        <v>21</v>
      </c>
      <c r="H251" s="3" t="s">
        <v>52</v>
      </c>
      <c r="I251" s="2">
        <v>45970</v>
      </c>
      <c r="J251" s="7">
        <v>0.67083333333333328</v>
      </c>
      <c r="K251" s="12">
        <f>IFERROR(IF(FManutencao[[#This Row],[Hora Fim]]="","",(FManutencao[[#This Row],[Data Fim]]+FManutencao[[#This Row],[Hora Fim]])-(FManutencao[[#This Row],[Data Início]]+FManutencao[[#This Row],[Hora Início]])),"Data Fim errada")</f>
        <v>0.37916666666569654</v>
      </c>
    </row>
    <row r="252" spans="2:11" hidden="1" x14ac:dyDescent="0.3">
      <c r="B252" s="2">
        <v>45970</v>
      </c>
      <c r="C252" s="7">
        <v>0.29166666666666669</v>
      </c>
      <c r="D252" s="3" t="s">
        <v>26</v>
      </c>
      <c r="E252" s="3">
        <v>1</v>
      </c>
      <c r="F252" s="3" t="s">
        <v>20</v>
      </c>
      <c r="G252" s="3" t="s">
        <v>21</v>
      </c>
      <c r="H252" s="3" t="s">
        <v>52</v>
      </c>
      <c r="I252" s="2">
        <v>45970</v>
      </c>
      <c r="J252" s="7">
        <v>0.67083333333333328</v>
      </c>
      <c r="K252" s="12">
        <f>IFERROR(IF(FManutencao[[#This Row],[Hora Fim]]="","",(FManutencao[[#This Row],[Data Fim]]+FManutencao[[#This Row],[Hora Fim]])-(FManutencao[[#This Row],[Data Início]]+FManutencao[[#This Row],[Hora Início]])),"Data Fim errada")</f>
        <v>0.37916666666569654</v>
      </c>
    </row>
    <row r="253" spans="2:11" hidden="1" x14ac:dyDescent="0.3">
      <c r="B253" s="2">
        <v>45970</v>
      </c>
      <c r="C253" s="7">
        <v>0.29166666666666669</v>
      </c>
      <c r="D253" s="3" t="s">
        <v>27</v>
      </c>
      <c r="E253" s="3">
        <v>1</v>
      </c>
      <c r="F253" s="3" t="s">
        <v>20</v>
      </c>
      <c r="G253" s="3" t="s">
        <v>29</v>
      </c>
      <c r="H253" s="3" t="s">
        <v>52</v>
      </c>
      <c r="I253" s="2">
        <v>45970</v>
      </c>
      <c r="J253" s="7">
        <v>0.67083333333333328</v>
      </c>
      <c r="K253" s="12">
        <f>IFERROR(IF(FManutencao[[#This Row],[Hora Fim]]="","",(FManutencao[[#This Row],[Data Fim]]+FManutencao[[#This Row],[Hora Fim]])-(FManutencao[[#This Row],[Data Início]]+FManutencao[[#This Row],[Hora Início]])),"Data Fim errada")</f>
        <v>0.37916666666569654</v>
      </c>
    </row>
    <row r="254" spans="2:11" hidden="1" x14ac:dyDescent="0.3">
      <c r="B254" s="2">
        <v>45970</v>
      </c>
      <c r="C254" s="7">
        <v>0.29166666666666669</v>
      </c>
      <c r="D254" s="3" t="s">
        <v>28</v>
      </c>
      <c r="E254" s="3">
        <v>1</v>
      </c>
      <c r="F254" s="3" t="s">
        <v>20</v>
      </c>
      <c r="G254" s="3" t="s">
        <v>21</v>
      </c>
      <c r="H254" s="3" t="s">
        <v>52</v>
      </c>
      <c r="I254" s="2">
        <v>45970</v>
      </c>
      <c r="J254" s="7">
        <v>0.67083333333333328</v>
      </c>
      <c r="K254" s="12">
        <f>IFERROR(IF(FManutencao[[#This Row],[Hora Fim]]="","",(FManutencao[[#This Row],[Data Fim]]+FManutencao[[#This Row],[Hora Fim]])-(FManutencao[[#This Row],[Data Início]]+FManutencao[[#This Row],[Hora Início]])),"Data Fim errada")</f>
        <v>0.37916666666569654</v>
      </c>
    </row>
    <row r="255" spans="2:11" hidden="1" x14ac:dyDescent="0.3">
      <c r="B255" s="2">
        <v>45970</v>
      </c>
      <c r="C255" s="7">
        <v>5.7638888888888892E-2</v>
      </c>
      <c r="D255" s="3" t="s">
        <v>19</v>
      </c>
      <c r="E255" s="3">
        <v>2</v>
      </c>
      <c r="F255" s="3" t="s">
        <v>20</v>
      </c>
      <c r="G255" s="3" t="s">
        <v>29</v>
      </c>
      <c r="H255" s="3" t="s">
        <v>53</v>
      </c>
      <c r="I255" s="2">
        <v>45970</v>
      </c>
      <c r="J255" s="7">
        <v>7.8472222222222221E-2</v>
      </c>
      <c r="K255" s="12">
        <f>IFERROR(IF(FManutencao[[#This Row],[Hora Fim]]="","",(FManutencao[[#This Row],[Data Fim]]+FManutencao[[#This Row],[Hora Fim]])-(FManutencao[[#This Row],[Data Início]]+FManutencao[[#This Row],[Hora Início]])),"Data Fim errada")</f>
        <v>2.0833333335758653E-2</v>
      </c>
    </row>
    <row r="256" spans="2:11" hidden="1" x14ac:dyDescent="0.3">
      <c r="B256" s="2">
        <v>45970</v>
      </c>
      <c r="C256" s="7">
        <v>8.1250000000000003E-2</v>
      </c>
      <c r="D256" s="3" t="s">
        <v>19</v>
      </c>
      <c r="E256" s="3">
        <v>2</v>
      </c>
      <c r="F256" s="3" t="s">
        <v>20</v>
      </c>
      <c r="G256" s="3" t="s">
        <v>21</v>
      </c>
      <c r="H256" s="3" t="s">
        <v>36</v>
      </c>
      <c r="I256" s="2">
        <v>45970</v>
      </c>
      <c r="J256" s="7">
        <v>8.4027777777777785E-2</v>
      </c>
      <c r="K256" s="12">
        <f>IFERROR(IF(FManutencao[[#This Row],[Hora Fim]]="","",(FManutencao[[#This Row],[Data Fim]]+FManutencao[[#This Row],[Hora Fim]])-(FManutencao[[#This Row],[Data Início]]+FManutencao[[#This Row],[Hora Início]])),"Data Fim errada")</f>
        <v>2.7777777722803876E-3</v>
      </c>
    </row>
    <row r="257" spans="2:11" hidden="1" x14ac:dyDescent="0.3">
      <c r="B257" s="2">
        <v>45970</v>
      </c>
      <c r="C257" s="7">
        <v>9.166666666666666E-2</v>
      </c>
      <c r="D257" s="3" t="s">
        <v>19</v>
      </c>
      <c r="E257" s="3">
        <v>2</v>
      </c>
      <c r="F257" s="3" t="s">
        <v>20</v>
      </c>
      <c r="G257" s="3" t="s">
        <v>21</v>
      </c>
      <c r="H257" s="3" t="s">
        <v>36</v>
      </c>
      <c r="I257" s="2">
        <v>45970</v>
      </c>
      <c r="J257" s="7">
        <v>9.5138888888888884E-2</v>
      </c>
      <c r="K257" s="12">
        <f>IFERROR(IF(FManutencao[[#This Row],[Hora Fim]]="","",(FManutencao[[#This Row],[Data Fim]]+FManutencao[[#This Row],[Hora Fim]])-(FManutencao[[#This Row],[Data Início]]+FManutencao[[#This Row],[Hora Início]])),"Data Fim errada")</f>
        <v>3.4722222189884633E-3</v>
      </c>
    </row>
    <row r="258" spans="2:11" hidden="1" x14ac:dyDescent="0.3">
      <c r="B258" s="2">
        <v>45970</v>
      </c>
      <c r="C258" s="7">
        <v>0.10138888888888889</v>
      </c>
      <c r="D258" s="3" t="s">
        <v>19</v>
      </c>
      <c r="E258" s="3">
        <v>2</v>
      </c>
      <c r="F258" s="3" t="s">
        <v>20</v>
      </c>
      <c r="G258" s="3" t="s">
        <v>21</v>
      </c>
      <c r="H258" s="3" t="s">
        <v>36</v>
      </c>
      <c r="I258" s="2">
        <v>45970</v>
      </c>
      <c r="J258" s="7">
        <v>0.10347222222222222</v>
      </c>
      <c r="K258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59" spans="2:11" hidden="1" x14ac:dyDescent="0.3">
      <c r="B259" s="2">
        <v>45970</v>
      </c>
      <c r="C259" s="7">
        <v>5.7638888888888892E-2</v>
      </c>
      <c r="D259" s="3" t="s">
        <v>26</v>
      </c>
      <c r="E259" s="3">
        <v>2</v>
      </c>
      <c r="F259" s="3" t="s">
        <v>20</v>
      </c>
      <c r="G259" s="3" t="s">
        <v>21</v>
      </c>
      <c r="H259" s="3" t="s">
        <v>53</v>
      </c>
      <c r="I259" s="2">
        <v>45970</v>
      </c>
      <c r="J259" s="7">
        <v>7.8472222222222221E-2</v>
      </c>
      <c r="K259" s="12">
        <f>IFERROR(IF(FManutencao[[#This Row],[Hora Fim]]="","",(FManutencao[[#This Row],[Data Fim]]+FManutencao[[#This Row],[Hora Fim]])-(FManutencao[[#This Row],[Data Início]]+FManutencao[[#This Row],[Hora Início]])),"Data Fim errada")</f>
        <v>2.0833333335758653E-2</v>
      </c>
    </row>
    <row r="260" spans="2:11" hidden="1" x14ac:dyDescent="0.3">
      <c r="B260" s="2">
        <v>45970</v>
      </c>
      <c r="C260" s="7">
        <v>8.1250000000000003E-2</v>
      </c>
      <c r="D260" s="3" t="s">
        <v>26</v>
      </c>
      <c r="E260" s="3">
        <v>2</v>
      </c>
      <c r="F260" s="3" t="s">
        <v>20</v>
      </c>
      <c r="G260" s="3" t="s">
        <v>21</v>
      </c>
      <c r="H260" s="3" t="s">
        <v>36</v>
      </c>
      <c r="I260" s="2">
        <v>45970</v>
      </c>
      <c r="J260" s="7">
        <v>8.4027777777777785E-2</v>
      </c>
      <c r="K260" s="12">
        <f>IFERROR(IF(FManutencao[[#This Row],[Hora Fim]]="","",(FManutencao[[#This Row],[Data Fim]]+FManutencao[[#This Row],[Hora Fim]])-(FManutencao[[#This Row],[Data Início]]+FManutencao[[#This Row],[Hora Início]])),"Data Fim errada")</f>
        <v>2.7777777722803876E-3</v>
      </c>
    </row>
    <row r="261" spans="2:11" hidden="1" x14ac:dyDescent="0.3">
      <c r="B261" s="2">
        <v>45970</v>
      </c>
      <c r="C261" s="7">
        <v>9.166666666666666E-2</v>
      </c>
      <c r="D261" s="3" t="s">
        <v>26</v>
      </c>
      <c r="E261" s="3">
        <v>2</v>
      </c>
      <c r="F261" s="3" t="s">
        <v>20</v>
      </c>
      <c r="G261" s="3" t="s">
        <v>21</v>
      </c>
      <c r="H261" s="3" t="s">
        <v>36</v>
      </c>
      <c r="I261" s="2">
        <v>45970</v>
      </c>
      <c r="J261" s="7">
        <v>9.5138888888888884E-2</v>
      </c>
      <c r="K261" s="12">
        <f>IFERROR(IF(FManutencao[[#This Row],[Hora Fim]]="","",(FManutencao[[#This Row],[Data Fim]]+FManutencao[[#This Row],[Hora Fim]])-(FManutencao[[#This Row],[Data Início]]+FManutencao[[#This Row],[Hora Início]])),"Data Fim errada")</f>
        <v>3.4722222189884633E-3</v>
      </c>
    </row>
    <row r="262" spans="2:11" hidden="1" x14ac:dyDescent="0.3">
      <c r="B262" s="2">
        <v>45970</v>
      </c>
      <c r="C262" s="7">
        <v>0.10138888888888889</v>
      </c>
      <c r="D262" s="3" t="s">
        <v>26</v>
      </c>
      <c r="E262" s="3">
        <v>2</v>
      </c>
      <c r="F262" s="3" t="s">
        <v>20</v>
      </c>
      <c r="G262" s="3" t="s">
        <v>21</v>
      </c>
      <c r="H262" s="3" t="s">
        <v>36</v>
      </c>
      <c r="I262" s="2">
        <v>45970</v>
      </c>
      <c r="J262" s="7">
        <v>0.10347222222222222</v>
      </c>
      <c r="K262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63" spans="2:11" hidden="1" x14ac:dyDescent="0.3">
      <c r="B263" s="2">
        <v>45970</v>
      </c>
      <c r="C263" s="7">
        <v>5.7638888888888892E-2</v>
      </c>
      <c r="D263" s="3" t="s">
        <v>27</v>
      </c>
      <c r="E263" s="3">
        <v>2</v>
      </c>
      <c r="F263" s="3" t="s">
        <v>20</v>
      </c>
      <c r="G263" s="3" t="s">
        <v>21</v>
      </c>
      <c r="H263" s="3" t="s">
        <v>53</v>
      </c>
      <c r="I263" s="2">
        <v>45970</v>
      </c>
      <c r="J263" s="7">
        <v>7.8472222222222221E-2</v>
      </c>
      <c r="K263" s="12">
        <f>IFERROR(IF(FManutencao[[#This Row],[Hora Fim]]="","",(FManutencao[[#This Row],[Data Fim]]+FManutencao[[#This Row],[Hora Fim]])-(FManutencao[[#This Row],[Data Início]]+FManutencao[[#This Row],[Hora Início]])),"Data Fim errada")</f>
        <v>2.0833333335758653E-2</v>
      </c>
    </row>
    <row r="264" spans="2:11" hidden="1" x14ac:dyDescent="0.3">
      <c r="B264" s="2">
        <v>45970</v>
      </c>
      <c r="C264" s="7">
        <v>8.1250000000000003E-2</v>
      </c>
      <c r="D264" s="3" t="s">
        <v>27</v>
      </c>
      <c r="E264" s="3">
        <v>2</v>
      </c>
      <c r="F264" s="3" t="s">
        <v>20</v>
      </c>
      <c r="G264" s="3" t="s">
        <v>21</v>
      </c>
      <c r="H264" s="3" t="s">
        <v>36</v>
      </c>
      <c r="I264" s="2">
        <v>45970</v>
      </c>
      <c r="J264" s="7">
        <v>8.4027777777777785E-2</v>
      </c>
      <c r="K264" s="12">
        <f>IFERROR(IF(FManutencao[[#This Row],[Hora Fim]]="","",(FManutencao[[#This Row],[Data Fim]]+FManutencao[[#This Row],[Hora Fim]])-(FManutencao[[#This Row],[Data Início]]+FManutencao[[#This Row],[Hora Início]])),"Data Fim errada")</f>
        <v>2.7777777722803876E-3</v>
      </c>
    </row>
    <row r="265" spans="2:11" hidden="1" x14ac:dyDescent="0.3">
      <c r="B265" s="2">
        <v>45970</v>
      </c>
      <c r="C265" s="7">
        <v>9.166666666666666E-2</v>
      </c>
      <c r="D265" s="3" t="s">
        <v>27</v>
      </c>
      <c r="E265" s="3">
        <v>2</v>
      </c>
      <c r="F265" s="3" t="s">
        <v>20</v>
      </c>
      <c r="G265" s="3" t="s">
        <v>21</v>
      </c>
      <c r="H265" s="3" t="s">
        <v>36</v>
      </c>
      <c r="I265" s="2">
        <v>45970</v>
      </c>
      <c r="J265" s="7">
        <v>9.5138888888888884E-2</v>
      </c>
      <c r="K265" s="12">
        <f>IFERROR(IF(FManutencao[[#This Row],[Hora Fim]]="","",(FManutencao[[#This Row],[Data Fim]]+FManutencao[[#This Row],[Hora Fim]])-(FManutencao[[#This Row],[Data Início]]+FManutencao[[#This Row],[Hora Início]])),"Data Fim errada")</f>
        <v>3.4722222189884633E-3</v>
      </c>
    </row>
    <row r="266" spans="2:11" hidden="1" x14ac:dyDescent="0.3">
      <c r="B266" s="2">
        <v>45970</v>
      </c>
      <c r="C266" s="7">
        <v>0.10138888888888889</v>
      </c>
      <c r="D266" s="3" t="s">
        <v>27</v>
      </c>
      <c r="E266" s="3">
        <v>2</v>
      </c>
      <c r="F266" s="3" t="s">
        <v>20</v>
      </c>
      <c r="G266" s="3" t="s">
        <v>21</v>
      </c>
      <c r="H266" s="3" t="s">
        <v>36</v>
      </c>
      <c r="I266" s="2">
        <v>45970</v>
      </c>
      <c r="J266" s="7">
        <v>0.10347222222222222</v>
      </c>
      <c r="K266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67" spans="2:11" hidden="1" x14ac:dyDescent="0.3">
      <c r="B267" s="2">
        <v>45970</v>
      </c>
      <c r="C267" s="7">
        <v>5.7638888888888892E-2</v>
      </c>
      <c r="D267" s="3" t="s">
        <v>28</v>
      </c>
      <c r="E267" s="3">
        <v>2</v>
      </c>
      <c r="F267" s="3" t="s">
        <v>20</v>
      </c>
      <c r="G267" s="3" t="s">
        <v>21</v>
      </c>
      <c r="H267" s="3" t="s">
        <v>53</v>
      </c>
      <c r="I267" s="2">
        <v>45970</v>
      </c>
      <c r="J267" s="7">
        <v>7.8472222222222221E-2</v>
      </c>
      <c r="K267" s="12">
        <f>IFERROR(IF(FManutencao[[#This Row],[Hora Fim]]="","",(FManutencao[[#This Row],[Data Fim]]+FManutencao[[#This Row],[Hora Fim]])-(FManutencao[[#This Row],[Data Início]]+FManutencao[[#This Row],[Hora Início]])),"Data Fim errada")</f>
        <v>2.0833333335758653E-2</v>
      </c>
    </row>
    <row r="268" spans="2:11" hidden="1" x14ac:dyDescent="0.3">
      <c r="B268" s="2">
        <v>45970</v>
      </c>
      <c r="C268" s="7">
        <v>8.1250000000000003E-2</v>
      </c>
      <c r="D268" s="3" t="s">
        <v>28</v>
      </c>
      <c r="E268" s="3">
        <v>2</v>
      </c>
      <c r="F268" s="3" t="s">
        <v>20</v>
      </c>
      <c r="G268" s="3" t="s">
        <v>21</v>
      </c>
      <c r="H268" s="3" t="s">
        <v>36</v>
      </c>
      <c r="I268" s="2">
        <v>45970</v>
      </c>
      <c r="J268" s="7">
        <v>8.4027777777777785E-2</v>
      </c>
      <c r="K268" s="12">
        <f>IFERROR(IF(FManutencao[[#This Row],[Hora Fim]]="","",(FManutencao[[#This Row],[Data Fim]]+FManutencao[[#This Row],[Hora Fim]])-(FManutencao[[#This Row],[Data Início]]+FManutencao[[#This Row],[Hora Início]])),"Data Fim errada")</f>
        <v>2.7777777722803876E-3</v>
      </c>
    </row>
    <row r="269" spans="2:11" hidden="1" x14ac:dyDescent="0.3">
      <c r="B269" s="2">
        <v>45970</v>
      </c>
      <c r="C269" s="7">
        <v>9.166666666666666E-2</v>
      </c>
      <c r="D269" s="3" t="s">
        <v>28</v>
      </c>
      <c r="E269" s="3">
        <v>2</v>
      </c>
      <c r="F269" s="3" t="s">
        <v>20</v>
      </c>
      <c r="G269" s="3" t="s">
        <v>21</v>
      </c>
      <c r="H269" s="3" t="s">
        <v>36</v>
      </c>
      <c r="I269" s="2">
        <v>45970</v>
      </c>
      <c r="J269" s="7">
        <v>9.5138888888888884E-2</v>
      </c>
      <c r="K269" s="12">
        <f>IFERROR(IF(FManutencao[[#This Row],[Hora Fim]]="","",(FManutencao[[#This Row],[Data Fim]]+FManutencao[[#This Row],[Hora Fim]])-(FManutencao[[#This Row],[Data Início]]+FManutencao[[#This Row],[Hora Início]])),"Data Fim errada")</f>
        <v>3.4722222189884633E-3</v>
      </c>
    </row>
    <row r="270" spans="2:11" hidden="1" x14ac:dyDescent="0.3">
      <c r="B270" s="2">
        <v>45970</v>
      </c>
      <c r="C270" s="7">
        <v>0.10138888888888889</v>
      </c>
      <c r="D270" s="3" t="s">
        <v>28</v>
      </c>
      <c r="E270" s="3">
        <v>2</v>
      </c>
      <c r="F270" s="3" t="s">
        <v>20</v>
      </c>
      <c r="G270" s="3" t="s">
        <v>21</v>
      </c>
      <c r="H270" s="3" t="s">
        <v>36</v>
      </c>
      <c r="I270" s="2">
        <v>45970</v>
      </c>
      <c r="J270" s="7">
        <v>0.10347222222222222</v>
      </c>
      <c r="K270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71" spans="2:11" hidden="1" x14ac:dyDescent="0.3">
      <c r="B271" s="2">
        <v>45971</v>
      </c>
      <c r="C271" s="7">
        <v>0.32291666666666669</v>
      </c>
      <c r="D271" s="3" t="s">
        <v>19</v>
      </c>
      <c r="E271" s="3">
        <v>1</v>
      </c>
      <c r="F271" s="3" t="s">
        <v>20</v>
      </c>
      <c r="G271" s="3" t="s">
        <v>29</v>
      </c>
      <c r="H271" s="3" t="s">
        <v>54</v>
      </c>
      <c r="I271" s="2">
        <v>45971</v>
      </c>
      <c r="J271" s="7">
        <v>0.55069444444444449</v>
      </c>
      <c r="K271" s="12">
        <f>IFERROR(IF(FManutencao[[#This Row],[Hora Fim]]="","",(FManutencao[[#This Row],[Data Fim]]+FManutencao[[#This Row],[Hora Fim]])-(FManutencao[[#This Row],[Data Início]]+FManutencao[[#This Row],[Hora Início]])),"Data Fim errada")</f>
        <v>0.22777777777810115</v>
      </c>
    </row>
    <row r="272" spans="2:11" hidden="1" x14ac:dyDescent="0.3">
      <c r="B272" s="2">
        <v>45971</v>
      </c>
      <c r="C272" s="7">
        <v>0.5541666666666667</v>
      </c>
      <c r="D272" s="3" t="s">
        <v>19</v>
      </c>
      <c r="E272" s="3">
        <v>1</v>
      </c>
      <c r="F272" s="3" t="s">
        <v>20</v>
      </c>
      <c r="G272" s="3" t="s">
        <v>21</v>
      </c>
      <c r="H272" s="3" t="s">
        <v>55</v>
      </c>
      <c r="I272" s="2">
        <v>45971</v>
      </c>
      <c r="J272" s="7">
        <v>0.55555555555555558</v>
      </c>
      <c r="K272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273" spans="2:11" hidden="1" x14ac:dyDescent="0.3">
      <c r="B273" s="2">
        <v>45971</v>
      </c>
      <c r="C273" s="7">
        <v>0.32291666666666669</v>
      </c>
      <c r="D273" s="3" t="s">
        <v>26</v>
      </c>
      <c r="E273" s="3">
        <v>1</v>
      </c>
      <c r="F273" s="3" t="s">
        <v>20</v>
      </c>
      <c r="G273" s="3" t="s">
        <v>21</v>
      </c>
      <c r="H273" s="3" t="s">
        <v>54</v>
      </c>
      <c r="I273" s="2">
        <v>45971</v>
      </c>
      <c r="J273" s="7">
        <v>0.55069444444444449</v>
      </c>
      <c r="K273" s="12">
        <f>IFERROR(IF(FManutencao[[#This Row],[Hora Fim]]="","",(FManutencao[[#This Row],[Data Fim]]+FManutencao[[#This Row],[Hora Fim]])-(FManutencao[[#This Row],[Data Início]]+FManutencao[[#This Row],[Hora Início]])),"Data Fim errada")</f>
        <v>0.22777777777810115</v>
      </c>
    </row>
    <row r="274" spans="2:11" hidden="1" x14ac:dyDescent="0.3">
      <c r="B274" s="2">
        <v>45971</v>
      </c>
      <c r="C274" s="7">
        <v>0.5541666666666667</v>
      </c>
      <c r="D274" s="3" t="s">
        <v>26</v>
      </c>
      <c r="E274" s="3">
        <v>1</v>
      </c>
      <c r="F274" s="3" t="s">
        <v>20</v>
      </c>
      <c r="G274" s="3" t="s">
        <v>21</v>
      </c>
      <c r="H274" s="3" t="s">
        <v>55</v>
      </c>
      <c r="I274" s="2">
        <v>45971</v>
      </c>
      <c r="J274" s="7">
        <v>0.55555555555555558</v>
      </c>
      <c r="K274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275" spans="2:11" hidden="1" x14ac:dyDescent="0.3">
      <c r="B275" s="2">
        <v>45971</v>
      </c>
      <c r="C275" s="7">
        <v>0.32291666666666669</v>
      </c>
      <c r="D275" s="3" t="s">
        <v>27</v>
      </c>
      <c r="E275" s="3">
        <v>1</v>
      </c>
      <c r="F275" s="3" t="s">
        <v>20</v>
      </c>
      <c r="G275" s="3" t="s">
        <v>21</v>
      </c>
      <c r="H275" s="3" t="s">
        <v>54</v>
      </c>
      <c r="I275" s="2">
        <v>45971</v>
      </c>
      <c r="J275" s="7">
        <v>0.55069444444444449</v>
      </c>
      <c r="K275" s="12">
        <f>IFERROR(IF(FManutencao[[#This Row],[Hora Fim]]="","",(FManutencao[[#This Row],[Data Fim]]+FManutencao[[#This Row],[Hora Fim]])-(FManutencao[[#This Row],[Data Início]]+FManutencao[[#This Row],[Hora Início]])),"Data Fim errada")</f>
        <v>0.22777777777810115</v>
      </c>
    </row>
    <row r="276" spans="2:11" hidden="1" x14ac:dyDescent="0.3">
      <c r="B276" s="2">
        <v>45971</v>
      </c>
      <c r="C276" s="7">
        <v>0.5541666666666667</v>
      </c>
      <c r="D276" s="3" t="s">
        <v>27</v>
      </c>
      <c r="E276" s="3">
        <v>1</v>
      </c>
      <c r="F276" s="3" t="s">
        <v>20</v>
      </c>
      <c r="G276" s="3" t="s">
        <v>29</v>
      </c>
      <c r="H276" s="3" t="s">
        <v>55</v>
      </c>
      <c r="I276" s="2">
        <v>45971</v>
      </c>
      <c r="J276" s="7">
        <v>0.55555555555555558</v>
      </c>
      <c r="K276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277" spans="2:11" hidden="1" x14ac:dyDescent="0.3">
      <c r="B277" s="2">
        <v>45971</v>
      </c>
      <c r="C277" s="7">
        <v>0.32291666666666669</v>
      </c>
      <c r="D277" s="3" t="s">
        <v>28</v>
      </c>
      <c r="E277" s="3">
        <v>1</v>
      </c>
      <c r="F277" s="3" t="s">
        <v>20</v>
      </c>
      <c r="G277" s="3" t="s">
        <v>21</v>
      </c>
      <c r="H277" s="3" t="s">
        <v>54</v>
      </c>
      <c r="I277" s="2">
        <v>45971</v>
      </c>
      <c r="J277" s="7">
        <v>0.55069444444444449</v>
      </c>
      <c r="K277" s="12">
        <f>IFERROR(IF(FManutencao[[#This Row],[Hora Fim]]="","",(FManutencao[[#This Row],[Data Fim]]+FManutencao[[#This Row],[Hora Fim]])-(FManutencao[[#This Row],[Data Início]]+FManutencao[[#This Row],[Hora Início]])),"Data Fim errada")</f>
        <v>0.22777777777810115</v>
      </c>
    </row>
    <row r="278" spans="2:11" hidden="1" x14ac:dyDescent="0.3">
      <c r="B278" s="2">
        <v>45971</v>
      </c>
      <c r="C278" s="7">
        <v>0.5541666666666667</v>
      </c>
      <c r="D278" s="3" t="s">
        <v>28</v>
      </c>
      <c r="E278" s="3">
        <v>1</v>
      </c>
      <c r="F278" s="3" t="s">
        <v>20</v>
      </c>
      <c r="G278" s="3" t="s">
        <v>21</v>
      </c>
      <c r="H278" s="3" t="s">
        <v>55</v>
      </c>
      <c r="I278" s="2">
        <v>45971</v>
      </c>
      <c r="J278" s="7">
        <v>0.55555555555555558</v>
      </c>
      <c r="K278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279" spans="2:11" hidden="1" x14ac:dyDescent="0.3">
      <c r="B279" s="2">
        <v>45971</v>
      </c>
      <c r="C279" s="7">
        <v>0.15208333333333332</v>
      </c>
      <c r="D279" s="3" t="s">
        <v>19</v>
      </c>
      <c r="E279" s="3">
        <v>2</v>
      </c>
      <c r="F279" s="3" t="s">
        <v>20</v>
      </c>
      <c r="G279" s="3" t="s">
        <v>21</v>
      </c>
      <c r="H279" s="3" t="s">
        <v>36</v>
      </c>
      <c r="I279" s="2">
        <v>45971</v>
      </c>
      <c r="J279" s="7">
        <v>0.15416666666666667</v>
      </c>
      <c r="K279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80" spans="2:11" hidden="1" x14ac:dyDescent="0.3">
      <c r="B280" s="2">
        <v>45971</v>
      </c>
      <c r="C280" s="7">
        <v>0.16111111111111112</v>
      </c>
      <c r="D280" s="3" t="s">
        <v>19</v>
      </c>
      <c r="E280" s="3">
        <v>2</v>
      </c>
      <c r="F280" s="3" t="s">
        <v>20</v>
      </c>
      <c r="G280" s="3" t="s">
        <v>21</v>
      </c>
      <c r="H280" s="3" t="s">
        <v>36</v>
      </c>
      <c r="I280" s="2">
        <v>45971</v>
      </c>
      <c r="J280" s="7">
        <v>0.16319444444444445</v>
      </c>
      <c r="K280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81" spans="2:11" hidden="1" x14ac:dyDescent="0.3">
      <c r="B281" s="2">
        <v>45971</v>
      </c>
      <c r="C281" s="7">
        <v>0.17222222222222222</v>
      </c>
      <c r="D281" s="3" t="s">
        <v>19</v>
      </c>
      <c r="E281" s="3">
        <v>2</v>
      </c>
      <c r="F281" s="3" t="s">
        <v>20</v>
      </c>
      <c r="G281" s="3" t="s">
        <v>21</v>
      </c>
      <c r="H281" s="3" t="s">
        <v>36</v>
      </c>
      <c r="I281" s="2">
        <v>45971</v>
      </c>
      <c r="J281" s="7">
        <v>0.17430555555555555</v>
      </c>
      <c r="K281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82" spans="2:11" hidden="1" x14ac:dyDescent="0.3">
      <c r="B282" s="2">
        <v>45971</v>
      </c>
      <c r="C282" s="7">
        <v>0.18472222222222223</v>
      </c>
      <c r="D282" s="3" t="s">
        <v>19</v>
      </c>
      <c r="E282" s="3">
        <v>2</v>
      </c>
      <c r="F282" s="3" t="s">
        <v>20</v>
      </c>
      <c r="G282" s="3" t="s">
        <v>21</v>
      </c>
      <c r="H282" s="3" t="s">
        <v>36</v>
      </c>
      <c r="I282" s="2">
        <v>45971</v>
      </c>
      <c r="J282" s="7">
        <v>0.1875</v>
      </c>
      <c r="K282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283" spans="2:11" hidden="1" x14ac:dyDescent="0.3">
      <c r="B283" s="2">
        <v>45971</v>
      </c>
      <c r="C283" s="7">
        <v>0.19375000000000001</v>
      </c>
      <c r="D283" s="3" t="s">
        <v>19</v>
      </c>
      <c r="E283" s="3">
        <v>2</v>
      </c>
      <c r="F283" s="3" t="s">
        <v>20</v>
      </c>
      <c r="G283" s="3" t="s">
        <v>21</v>
      </c>
      <c r="H283" s="3" t="s">
        <v>36</v>
      </c>
      <c r="I283" s="2">
        <v>45971</v>
      </c>
      <c r="J283" s="7">
        <v>0.19444444444444445</v>
      </c>
      <c r="K283" s="12">
        <f>IFERROR(IF(FManutencao[[#This Row],[Hora Fim]]="","",(FManutencao[[#This Row],[Data Fim]]+FManutencao[[#This Row],[Hora Fim]])-(FManutencao[[#This Row],[Data Início]]+FManutencao[[#This Row],[Hora Início]])),"Data Fim errada")</f>
        <v>6.944444467080757E-4</v>
      </c>
    </row>
    <row r="284" spans="2:11" hidden="1" x14ac:dyDescent="0.3">
      <c r="B284" s="2">
        <v>45971</v>
      </c>
      <c r="C284" s="7">
        <v>0.27777777777777779</v>
      </c>
      <c r="D284" s="3" t="s">
        <v>19</v>
      </c>
      <c r="E284" s="3">
        <v>2</v>
      </c>
      <c r="F284" s="3" t="s">
        <v>20</v>
      </c>
      <c r="G284" s="3" t="s">
        <v>21</v>
      </c>
      <c r="H284" s="3" t="s">
        <v>31</v>
      </c>
      <c r="I284" s="2">
        <v>45971</v>
      </c>
      <c r="J284" s="7">
        <v>0.29166666666666669</v>
      </c>
      <c r="K284" s="12">
        <f>IFERROR(IF(FManutencao[[#This Row],[Hora Fim]]="","",(FManutencao[[#This Row],[Data Fim]]+FManutencao[[#This Row],[Hora Fim]])-(FManutencao[[#This Row],[Data Início]]+FManutencao[[#This Row],[Hora Início]])),"Data Fim errada")</f>
        <v>1.3888888883229811E-2</v>
      </c>
    </row>
    <row r="285" spans="2:11" hidden="1" x14ac:dyDescent="0.3">
      <c r="B285" s="2">
        <v>45971</v>
      </c>
      <c r="C285" s="7">
        <v>0.15208333333333332</v>
      </c>
      <c r="D285" s="3" t="s">
        <v>26</v>
      </c>
      <c r="E285" s="3">
        <v>2</v>
      </c>
      <c r="F285" s="3" t="s">
        <v>20</v>
      </c>
      <c r="G285" s="3" t="s">
        <v>21</v>
      </c>
      <c r="H285" s="3" t="s">
        <v>36</v>
      </c>
      <c r="I285" s="2">
        <v>45971</v>
      </c>
      <c r="J285" s="7">
        <v>0.15416666666666667</v>
      </c>
      <c r="K285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86" spans="2:11" hidden="1" x14ac:dyDescent="0.3">
      <c r="B286" s="2">
        <v>45971</v>
      </c>
      <c r="C286" s="7">
        <v>0.16111111111111112</v>
      </c>
      <c r="D286" s="3" t="s">
        <v>26</v>
      </c>
      <c r="E286" s="3">
        <v>2</v>
      </c>
      <c r="F286" s="3" t="s">
        <v>20</v>
      </c>
      <c r="G286" s="3" t="s">
        <v>21</v>
      </c>
      <c r="H286" s="3" t="s">
        <v>36</v>
      </c>
      <c r="I286" s="2">
        <v>45971</v>
      </c>
      <c r="J286" s="7">
        <v>0.16319444444444445</v>
      </c>
      <c r="K286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87" spans="2:11" hidden="1" x14ac:dyDescent="0.3">
      <c r="B287" s="2">
        <v>45971</v>
      </c>
      <c r="C287" s="7">
        <v>0.17222222222222222</v>
      </c>
      <c r="D287" s="3" t="s">
        <v>26</v>
      </c>
      <c r="E287" s="3">
        <v>2</v>
      </c>
      <c r="F287" s="3" t="s">
        <v>20</v>
      </c>
      <c r="G287" s="3" t="s">
        <v>21</v>
      </c>
      <c r="H287" s="3" t="s">
        <v>36</v>
      </c>
      <c r="I287" s="2">
        <v>45971</v>
      </c>
      <c r="J287" s="7">
        <v>0.17430555555555555</v>
      </c>
      <c r="K287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88" spans="2:11" hidden="1" x14ac:dyDescent="0.3">
      <c r="B288" s="2">
        <v>45971</v>
      </c>
      <c r="C288" s="7">
        <v>0.18472222222222223</v>
      </c>
      <c r="D288" s="3" t="s">
        <v>26</v>
      </c>
      <c r="E288" s="3">
        <v>2</v>
      </c>
      <c r="F288" s="3" t="s">
        <v>20</v>
      </c>
      <c r="G288" s="3" t="s">
        <v>21</v>
      </c>
      <c r="H288" s="3" t="s">
        <v>36</v>
      </c>
      <c r="I288" s="2">
        <v>45971</v>
      </c>
      <c r="J288" s="7">
        <v>0.1875</v>
      </c>
      <c r="K288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289" spans="2:11" hidden="1" x14ac:dyDescent="0.3">
      <c r="B289" s="2">
        <v>45971</v>
      </c>
      <c r="C289" s="7">
        <v>0.19375000000000001</v>
      </c>
      <c r="D289" s="3" t="s">
        <v>26</v>
      </c>
      <c r="E289" s="3">
        <v>2</v>
      </c>
      <c r="F289" s="3" t="s">
        <v>20</v>
      </c>
      <c r="G289" s="3" t="s">
        <v>21</v>
      </c>
      <c r="H289" s="3" t="s">
        <v>36</v>
      </c>
      <c r="I289" s="2">
        <v>45971</v>
      </c>
      <c r="J289" s="7">
        <v>0.19444444444444445</v>
      </c>
      <c r="K289" s="12">
        <f>IFERROR(IF(FManutencao[[#This Row],[Hora Fim]]="","",(FManutencao[[#This Row],[Data Fim]]+FManutencao[[#This Row],[Hora Fim]])-(FManutencao[[#This Row],[Data Início]]+FManutencao[[#This Row],[Hora Início]])),"Data Fim errada")</f>
        <v>6.944444467080757E-4</v>
      </c>
    </row>
    <row r="290" spans="2:11" hidden="1" x14ac:dyDescent="0.3">
      <c r="B290" s="2">
        <v>45971</v>
      </c>
      <c r="C290" s="7">
        <v>0.27777777777777779</v>
      </c>
      <c r="D290" s="3" t="s">
        <v>26</v>
      </c>
      <c r="E290" s="3">
        <v>2</v>
      </c>
      <c r="F290" s="3" t="s">
        <v>20</v>
      </c>
      <c r="G290" s="3" t="s">
        <v>21</v>
      </c>
      <c r="H290" s="3" t="s">
        <v>31</v>
      </c>
      <c r="I290" s="2">
        <v>45971</v>
      </c>
      <c r="J290" s="7">
        <v>0.29166666666666669</v>
      </c>
      <c r="K290" s="12">
        <f>IFERROR(IF(FManutencao[[#This Row],[Hora Fim]]="","",(FManutencao[[#This Row],[Data Fim]]+FManutencao[[#This Row],[Hora Fim]])-(FManutencao[[#This Row],[Data Início]]+FManutencao[[#This Row],[Hora Início]])),"Data Fim errada")</f>
        <v>1.3888888883229811E-2</v>
      </c>
    </row>
    <row r="291" spans="2:11" hidden="1" x14ac:dyDescent="0.3">
      <c r="B291" s="2">
        <v>45971</v>
      </c>
      <c r="C291" s="7">
        <v>0.15208333333333332</v>
      </c>
      <c r="D291" s="3" t="s">
        <v>27</v>
      </c>
      <c r="E291" s="3">
        <v>2</v>
      </c>
      <c r="F291" s="3" t="s">
        <v>20</v>
      </c>
      <c r="G291" s="3" t="s">
        <v>21</v>
      </c>
      <c r="H291" s="3" t="s">
        <v>36</v>
      </c>
      <c r="I291" s="2">
        <v>45971</v>
      </c>
      <c r="J291" s="7">
        <v>0.15416666666666667</v>
      </c>
      <c r="K291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92" spans="2:11" hidden="1" x14ac:dyDescent="0.3">
      <c r="B292" s="2">
        <v>45971</v>
      </c>
      <c r="C292" s="7">
        <v>0.16111111111111112</v>
      </c>
      <c r="D292" s="3" t="s">
        <v>27</v>
      </c>
      <c r="E292" s="3">
        <v>2</v>
      </c>
      <c r="F292" s="3" t="s">
        <v>20</v>
      </c>
      <c r="G292" s="3" t="s">
        <v>21</v>
      </c>
      <c r="H292" s="3" t="s">
        <v>36</v>
      </c>
      <c r="I292" s="2">
        <v>45971</v>
      </c>
      <c r="J292" s="7">
        <v>0.16319444444444445</v>
      </c>
      <c r="K292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93" spans="2:11" hidden="1" x14ac:dyDescent="0.3">
      <c r="B293" s="2">
        <v>45971</v>
      </c>
      <c r="C293" s="7">
        <v>0.17222222222222222</v>
      </c>
      <c r="D293" s="3" t="s">
        <v>27</v>
      </c>
      <c r="E293" s="3">
        <v>2</v>
      </c>
      <c r="F293" s="3" t="s">
        <v>20</v>
      </c>
      <c r="G293" s="3" t="s">
        <v>21</v>
      </c>
      <c r="H293" s="3" t="s">
        <v>36</v>
      </c>
      <c r="I293" s="2">
        <v>45971</v>
      </c>
      <c r="J293" s="7">
        <v>0.17430555555555555</v>
      </c>
      <c r="K293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94" spans="2:11" hidden="1" x14ac:dyDescent="0.3">
      <c r="B294" s="2">
        <v>45971</v>
      </c>
      <c r="C294" s="7">
        <v>0.18472222222222223</v>
      </c>
      <c r="D294" s="3" t="s">
        <v>27</v>
      </c>
      <c r="E294" s="3">
        <v>2</v>
      </c>
      <c r="F294" s="3" t="s">
        <v>20</v>
      </c>
      <c r="G294" s="3" t="s">
        <v>21</v>
      </c>
      <c r="H294" s="3" t="s">
        <v>36</v>
      </c>
      <c r="I294" s="2">
        <v>45971</v>
      </c>
      <c r="J294" s="7">
        <v>0.1875</v>
      </c>
      <c r="K294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295" spans="2:11" hidden="1" x14ac:dyDescent="0.3">
      <c r="B295" s="2">
        <v>45971</v>
      </c>
      <c r="C295" s="7">
        <v>0.19375000000000001</v>
      </c>
      <c r="D295" s="3" t="s">
        <v>27</v>
      </c>
      <c r="E295" s="3">
        <v>2</v>
      </c>
      <c r="F295" s="3" t="s">
        <v>20</v>
      </c>
      <c r="G295" s="3" t="s">
        <v>21</v>
      </c>
      <c r="H295" s="3" t="s">
        <v>36</v>
      </c>
      <c r="I295" s="2">
        <v>45971</v>
      </c>
      <c r="J295" s="7">
        <v>0.19444444444444445</v>
      </c>
      <c r="K295" s="12">
        <f>IFERROR(IF(FManutencao[[#This Row],[Hora Fim]]="","",(FManutencao[[#This Row],[Data Fim]]+FManutencao[[#This Row],[Hora Fim]])-(FManutencao[[#This Row],[Data Início]]+FManutencao[[#This Row],[Hora Início]])),"Data Fim errada")</f>
        <v>6.944444467080757E-4</v>
      </c>
    </row>
    <row r="296" spans="2:11" hidden="1" x14ac:dyDescent="0.3">
      <c r="B296" s="2">
        <v>45971</v>
      </c>
      <c r="C296" s="7">
        <v>0.27777777777777779</v>
      </c>
      <c r="D296" s="3" t="s">
        <v>27</v>
      </c>
      <c r="E296" s="3">
        <v>2</v>
      </c>
      <c r="F296" s="3" t="s">
        <v>20</v>
      </c>
      <c r="G296" s="3" t="s">
        <v>29</v>
      </c>
      <c r="H296" s="3" t="s">
        <v>31</v>
      </c>
      <c r="I296" s="2">
        <v>45971</v>
      </c>
      <c r="J296" s="7">
        <v>0.29166666666666669</v>
      </c>
      <c r="K296" s="12">
        <f>IFERROR(IF(FManutencao[[#This Row],[Hora Fim]]="","",(FManutencao[[#This Row],[Data Fim]]+FManutencao[[#This Row],[Hora Fim]])-(FManutencao[[#This Row],[Data Início]]+FManutencao[[#This Row],[Hora Início]])),"Data Fim errada")</f>
        <v>1.3888888883229811E-2</v>
      </c>
    </row>
    <row r="297" spans="2:11" hidden="1" x14ac:dyDescent="0.3">
      <c r="B297" s="2">
        <v>45971</v>
      </c>
      <c r="C297" s="7">
        <v>0.15208333333333332</v>
      </c>
      <c r="D297" s="3" t="s">
        <v>28</v>
      </c>
      <c r="E297" s="3">
        <v>2</v>
      </c>
      <c r="F297" s="3" t="s">
        <v>20</v>
      </c>
      <c r="G297" s="3" t="s">
        <v>21</v>
      </c>
      <c r="H297" s="3" t="s">
        <v>36</v>
      </c>
      <c r="I297" s="2">
        <v>45971</v>
      </c>
      <c r="J297" s="7">
        <v>0.15416666666666667</v>
      </c>
      <c r="K297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98" spans="2:11" hidden="1" x14ac:dyDescent="0.3">
      <c r="B298" s="2">
        <v>45971</v>
      </c>
      <c r="C298" s="7">
        <v>0.16111111111111112</v>
      </c>
      <c r="D298" s="3" t="s">
        <v>28</v>
      </c>
      <c r="E298" s="3">
        <v>2</v>
      </c>
      <c r="F298" s="3" t="s">
        <v>20</v>
      </c>
      <c r="G298" s="3" t="s">
        <v>21</v>
      </c>
      <c r="H298" s="3" t="s">
        <v>36</v>
      </c>
      <c r="I298" s="2">
        <v>45971</v>
      </c>
      <c r="J298" s="7">
        <v>0.16319444444444445</v>
      </c>
      <c r="K298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299" spans="2:11" hidden="1" x14ac:dyDescent="0.3">
      <c r="B299" s="2">
        <v>45971</v>
      </c>
      <c r="C299" s="7">
        <v>0.17222222222222222</v>
      </c>
      <c r="D299" s="3" t="s">
        <v>28</v>
      </c>
      <c r="E299" s="3">
        <v>2</v>
      </c>
      <c r="F299" s="3" t="s">
        <v>20</v>
      </c>
      <c r="G299" s="3" t="s">
        <v>21</v>
      </c>
      <c r="H299" s="3" t="s">
        <v>36</v>
      </c>
      <c r="I299" s="2">
        <v>45971</v>
      </c>
      <c r="J299" s="7">
        <v>0.17430555555555555</v>
      </c>
      <c r="K299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300" spans="2:11" hidden="1" x14ac:dyDescent="0.3">
      <c r="B300" s="2">
        <v>45971</v>
      </c>
      <c r="C300" s="7">
        <v>0.18472222222222223</v>
      </c>
      <c r="D300" s="3" t="s">
        <v>28</v>
      </c>
      <c r="E300" s="3">
        <v>2</v>
      </c>
      <c r="F300" s="3" t="s">
        <v>20</v>
      </c>
      <c r="G300" s="3" t="s">
        <v>21</v>
      </c>
      <c r="H300" s="3" t="s">
        <v>36</v>
      </c>
      <c r="I300" s="2">
        <v>45971</v>
      </c>
      <c r="J300" s="7">
        <v>0.1875</v>
      </c>
      <c r="K300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301" spans="2:11" hidden="1" x14ac:dyDescent="0.3">
      <c r="B301" s="2">
        <v>45971</v>
      </c>
      <c r="C301" s="7">
        <v>0.19375000000000001</v>
      </c>
      <c r="D301" s="3" t="s">
        <v>28</v>
      </c>
      <c r="E301" s="3">
        <v>2</v>
      </c>
      <c r="F301" s="3" t="s">
        <v>20</v>
      </c>
      <c r="G301" s="3" t="s">
        <v>21</v>
      </c>
      <c r="H301" s="3" t="s">
        <v>36</v>
      </c>
      <c r="I301" s="2">
        <v>45971</v>
      </c>
      <c r="J301" s="7">
        <v>0.19444444444444445</v>
      </c>
      <c r="K301" s="12">
        <f>IFERROR(IF(FManutencao[[#This Row],[Hora Fim]]="","",(FManutencao[[#This Row],[Data Fim]]+FManutencao[[#This Row],[Hora Fim]])-(FManutencao[[#This Row],[Data Início]]+FManutencao[[#This Row],[Hora Início]])),"Data Fim errada")</f>
        <v>6.944444467080757E-4</v>
      </c>
    </row>
    <row r="302" spans="2:11" hidden="1" x14ac:dyDescent="0.3">
      <c r="B302" s="2">
        <v>45971</v>
      </c>
      <c r="C302" s="7">
        <v>0.27777777777777779</v>
      </c>
      <c r="D302" s="3" t="s">
        <v>28</v>
      </c>
      <c r="E302" s="3">
        <v>2</v>
      </c>
      <c r="F302" s="3" t="s">
        <v>20</v>
      </c>
      <c r="G302" s="3" t="s">
        <v>21</v>
      </c>
      <c r="H302" s="3" t="s">
        <v>31</v>
      </c>
      <c r="I302" s="2">
        <v>45971</v>
      </c>
      <c r="J302" s="7">
        <v>0.29166666666666669</v>
      </c>
      <c r="K302" s="12">
        <f>IFERROR(IF(FManutencao[[#This Row],[Hora Fim]]="","",(FManutencao[[#This Row],[Data Fim]]+FManutencao[[#This Row],[Hora Fim]])-(FManutencao[[#This Row],[Data Início]]+FManutencao[[#This Row],[Hora Início]])),"Data Fim errada")</f>
        <v>1.3888888883229811E-2</v>
      </c>
    </row>
    <row r="303" spans="2:11" hidden="1" x14ac:dyDescent="0.3">
      <c r="B303" s="2">
        <v>45972</v>
      </c>
      <c r="C303" s="7">
        <v>0.29166666666666669</v>
      </c>
      <c r="D303" s="3" t="s">
        <v>19</v>
      </c>
      <c r="E303" s="3">
        <v>1</v>
      </c>
      <c r="F303" s="3" t="s">
        <v>20</v>
      </c>
      <c r="G303" s="3" t="s">
        <v>21</v>
      </c>
      <c r="H303" s="3" t="s">
        <v>31</v>
      </c>
      <c r="I303" s="2">
        <v>45972</v>
      </c>
      <c r="J303" s="7">
        <v>0.33819444444444446</v>
      </c>
      <c r="K303" s="12">
        <f>IFERROR(IF(FManutencao[[#This Row],[Hora Fim]]="","",(FManutencao[[#This Row],[Data Fim]]+FManutencao[[#This Row],[Hora Fim]])-(FManutencao[[#This Row],[Data Início]]+FManutencao[[#This Row],[Hora Início]])),"Data Fim errada")</f>
        <v>4.6527777776645962E-2</v>
      </c>
    </row>
    <row r="304" spans="2:11" hidden="1" x14ac:dyDescent="0.3">
      <c r="B304" s="2">
        <v>45972</v>
      </c>
      <c r="C304" s="7">
        <v>0.35625000000000001</v>
      </c>
      <c r="D304" s="3" t="s">
        <v>19</v>
      </c>
      <c r="E304" s="3">
        <v>1</v>
      </c>
      <c r="F304" s="3" t="s">
        <v>20</v>
      </c>
      <c r="G304" s="3" t="s">
        <v>21</v>
      </c>
      <c r="H304" s="3" t="s">
        <v>22</v>
      </c>
      <c r="I304" s="2">
        <v>45972</v>
      </c>
      <c r="J304" s="7">
        <v>0.3659722222222222</v>
      </c>
      <c r="K304" s="12">
        <f>IFERROR(IF(FManutencao[[#This Row],[Hora Fim]]="","",(FManutencao[[#This Row],[Data Fim]]+FManutencao[[#This Row],[Hora Fim]])-(FManutencao[[#This Row],[Data Início]]+FManutencao[[#This Row],[Hora Início]])),"Data Fim errada")</f>
        <v>9.7222222248092294E-3</v>
      </c>
    </row>
    <row r="305" spans="2:11" hidden="1" x14ac:dyDescent="0.3">
      <c r="B305" s="2">
        <v>45972</v>
      </c>
      <c r="C305" s="7">
        <v>0.3659722222222222</v>
      </c>
      <c r="D305" s="3" t="s">
        <v>19</v>
      </c>
      <c r="E305" s="3">
        <v>1</v>
      </c>
      <c r="F305" s="3" t="s">
        <v>20</v>
      </c>
      <c r="G305" s="3" t="s">
        <v>21</v>
      </c>
      <c r="H305" s="3" t="s">
        <v>56</v>
      </c>
      <c r="I305" s="2">
        <v>45972</v>
      </c>
      <c r="J305" s="7">
        <v>0.38472222222222224</v>
      </c>
      <c r="K305" s="12">
        <f>IFERROR(IF(FManutencao[[#This Row],[Hora Fim]]="","",(FManutencao[[#This Row],[Data Fim]]+FManutencao[[#This Row],[Hora Fim]])-(FManutencao[[#This Row],[Data Início]]+FManutencao[[#This Row],[Hora Início]])),"Data Fim errada")</f>
        <v>1.8750000002910383E-2</v>
      </c>
    </row>
    <row r="306" spans="2:11" hidden="1" x14ac:dyDescent="0.3">
      <c r="B306" s="2">
        <v>45972</v>
      </c>
      <c r="C306" s="7">
        <v>0.46666666666666667</v>
      </c>
      <c r="D306" s="3" t="s">
        <v>19</v>
      </c>
      <c r="E306" s="3">
        <v>1</v>
      </c>
      <c r="F306" s="3" t="s">
        <v>20</v>
      </c>
      <c r="G306" s="3" t="s">
        <v>21</v>
      </c>
      <c r="H306" s="3" t="s">
        <v>23</v>
      </c>
      <c r="I306" s="2">
        <v>45972</v>
      </c>
      <c r="J306" s="7">
        <v>0.46875</v>
      </c>
      <c r="K306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307" spans="2:11" hidden="1" x14ac:dyDescent="0.3">
      <c r="B307" s="2">
        <v>45972</v>
      </c>
      <c r="C307" s="7">
        <v>0.47430555555555554</v>
      </c>
      <c r="D307" s="3" t="s">
        <v>19</v>
      </c>
      <c r="E307" s="3">
        <v>1</v>
      </c>
      <c r="F307" s="3" t="s">
        <v>20</v>
      </c>
      <c r="G307" s="3" t="s">
        <v>21</v>
      </c>
      <c r="H307" s="3" t="s">
        <v>23</v>
      </c>
      <c r="I307" s="2">
        <v>45972</v>
      </c>
      <c r="J307" s="7">
        <v>0.47569444444444442</v>
      </c>
      <c r="K307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308" spans="2:11" hidden="1" x14ac:dyDescent="0.3">
      <c r="B308" s="2">
        <v>45972</v>
      </c>
      <c r="C308" s="7">
        <v>0.57291666666666663</v>
      </c>
      <c r="D308" s="3" t="s">
        <v>19</v>
      </c>
      <c r="E308" s="3">
        <v>1</v>
      </c>
      <c r="F308" s="3" t="s">
        <v>20</v>
      </c>
      <c r="G308" s="3" t="s">
        <v>21</v>
      </c>
      <c r="H308" s="3" t="s">
        <v>23</v>
      </c>
      <c r="I308" s="2">
        <v>45972</v>
      </c>
      <c r="J308" s="7">
        <v>0.57430555555555551</v>
      </c>
      <c r="K308" s="12">
        <f>IFERROR(IF(FManutencao[[#This Row],[Hora Fim]]="","",(FManutencao[[#This Row],[Data Fim]]+FManutencao[[#This Row],[Hora Fim]])-(FManutencao[[#This Row],[Data Início]]+FManutencao[[#This Row],[Hora Início]])),"Data Fim errada")</f>
        <v>1.3888888934161514E-3</v>
      </c>
    </row>
    <row r="309" spans="2:11" hidden="1" x14ac:dyDescent="0.3">
      <c r="B309" s="2">
        <v>45972</v>
      </c>
      <c r="C309" s="7">
        <v>0.58125000000000004</v>
      </c>
      <c r="D309" s="3" t="s">
        <v>19</v>
      </c>
      <c r="E309" s="3">
        <v>1</v>
      </c>
      <c r="F309" s="3" t="s">
        <v>20</v>
      </c>
      <c r="G309" s="3" t="s">
        <v>21</v>
      </c>
      <c r="H309" s="3" t="s">
        <v>23</v>
      </c>
      <c r="I309" s="2">
        <v>45972</v>
      </c>
      <c r="J309" s="7">
        <v>0.58680555555555558</v>
      </c>
      <c r="K309" s="12">
        <f>IFERROR(IF(FManutencao[[#This Row],[Hora Fim]]="","",(FManutencao[[#This Row],[Data Fim]]+FManutencao[[#This Row],[Hora Fim]])-(FManutencao[[#This Row],[Data Início]]+FManutencao[[#This Row],[Hora Início]])),"Data Fim errada")</f>
        <v>5.5555555518367328E-3</v>
      </c>
    </row>
    <row r="310" spans="2:11" hidden="1" x14ac:dyDescent="0.3">
      <c r="B310" s="2">
        <v>45972</v>
      </c>
      <c r="C310" s="7">
        <v>0.59722222222222221</v>
      </c>
      <c r="D310" s="3" t="s">
        <v>19</v>
      </c>
      <c r="E310" s="3">
        <v>1</v>
      </c>
      <c r="F310" s="3" t="s">
        <v>24</v>
      </c>
      <c r="G310" s="3" t="s">
        <v>29</v>
      </c>
      <c r="H310" s="3" t="s">
        <v>57</v>
      </c>
      <c r="I310" s="2">
        <v>45972</v>
      </c>
      <c r="J310" s="7">
        <v>0.66666666666666663</v>
      </c>
      <c r="K310" s="12">
        <f>IFERROR(IF(FManutencao[[#This Row],[Hora Fim]]="","",(FManutencao[[#This Row],[Data Fim]]+FManutencao[[#This Row],[Hora Fim]])-(FManutencao[[#This Row],[Data Início]]+FManutencao[[#This Row],[Hora Início]])),"Data Fim errada")</f>
        <v>6.9444444445252884E-2</v>
      </c>
    </row>
    <row r="311" spans="2:11" hidden="1" x14ac:dyDescent="0.3">
      <c r="B311" s="2">
        <v>45972</v>
      </c>
      <c r="C311" s="7">
        <v>0.29166666666666669</v>
      </c>
      <c r="D311" s="3" t="s">
        <v>26</v>
      </c>
      <c r="E311" s="3">
        <v>1</v>
      </c>
      <c r="F311" s="3" t="s">
        <v>20</v>
      </c>
      <c r="G311" s="3" t="s">
        <v>21</v>
      </c>
      <c r="H311" s="3" t="s">
        <v>31</v>
      </c>
      <c r="I311" s="2">
        <v>45972</v>
      </c>
      <c r="J311" s="7">
        <v>0.33819444444444446</v>
      </c>
      <c r="K311" s="12">
        <f>IFERROR(IF(FManutencao[[#This Row],[Hora Fim]]="","",(FManutencao[[#This Row],[Data Fim]]+FManutencao[[#This Row],[Hora Fim]])-(FManutencao[[#This Row],[Data Início]]+FManutencao[[#This Row],[Hora Início]])),"Data Fim errada")</f>
        <v>4.6527777776645962E-2</v>
      </c>
    </row>
    <row r="312" spans="2:11" hidden="1" x14ac:dyDescent="0.3">
      <c r="B312" s="2">
        <v>45972</v>
      </c>
      <c r="C312" s="7">
        <v>0.35625000000000001</v>
      </c>
      <c r="D312" s="3" t="s">
        <v>26</v>
      </c>
      <c r="E312" s="3">
        <v>1</v>
      </c>
      <c r="F312" s="3" t="s">
        <v>20</v>
      </c>
      <c r="G312" s="3" t="s">
        <v>21</v>
      </c>
      <c r="H312" s="3" t="s">
        <v>22</v>
      </c>
      <c r="I312" s="2">
        <v>45972</v>
      </c>
      <c r="J312" s="7">
        <v>0.3659722222222222</v>
      </c>
      <c r="K312" s="12">
        <f>IFERROR(IF(FManutencao[[#This Row],[Hora Fim]]="","",(FManutencao[[#This Row],[Data Fim]]+FManutencao[[#This Row],[Hora Fim]])-(FManutencao[[#This Row],[Data Início]]+FManutencao[[#This Row],[Hora Início]])),"Data Fim errada")</f>
        <v>9.7222222248092294E-3</v>
      </c>
    </row>
    <row r="313" spans="2:11" hidden="1" x14ac:dyDescent="0.3">
      <c r="B313" s="2">
        <v>45972</v>
      </c>
      <c r="C313" s="7">
        <v>0.3659722222222222</v>
      </c>
      <c r="D313" s="3" t="s">
        <v>26</v>
      </c>
      <c r="E313" s="3">
        <v>1</v>
      </c>
      <c r="F313" s="3" t="s">
        <v>20</v>
      </c>
      <c r="G313" s="3" t="s">
        <v>21</v>
      </c>
      <c r="H313" s="3" t="s">
        <v>56</v>
      </c>
      <c r="I313" s="2">
        <v>45972</v>
      </c>
      <c r="J313" s="7">
        <v>0.38472222222222224</v>
      </c>
      <c r="K313" s="12">
        <f>IFERROR(IF(FManutencao[[#This Row],[Hora Fim]]="","",(FManutencao[[#This Row],[Data Fim]]+FManutencao[[#This Row],[Hora Fim]])-(FManutencao[[#This Row],[Data Início]]+FManutencao[[#This Row],[Hora Início]])),"Data Fim errada")</f>
        <v>1.8750000002910383E-2</v>
      </c>
    </row>
    <row r="314" spans="2:11" hidden="1" x14ac:dyDescent="0.3">
      <c r="B314" s="2">
        <v>45972</v>
      </c>
      <c r="C314" s="7">
        <v>0.46666666666666667</v>
      </c>
      <c r="D314" s="3" t="s">
        <v>26</v>
      </c>
      <c r="E314" s="3">
        <v>1</v>
      </c>
      <c r="F314" s="3" t="s">
        <v>20</v>
      </c>
      <c r="G314" s="3" t="s">
        <v>21</v>
      </c>
      <c r="H314" s="3" t="s">
        <v>23</v>
      </c>
      <c r="I314" s="2">
        <v>45972</v>
      </c>
      <c r="J314" s="7">
        <v>0.46875</v>
      </c>
      <c r="K314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315" spans="2:11" hidden="1" x14ac:dyDescent="0.3">
      <c r="B315" s="2">
        <v>45972</v>
      </c>
      <c r="C315" s="7">
        <v>0.47430555555555554</v>
      </c>
      <c r="D315" s="3" t="s">
        <v>26</v>
      </c>
      <c r="E315" s="3">
        <v>1</v>
      </c>
      <c r="F315" s="3" t="s">
        <v>20</v>
      </c>
      <c r="G315" s="3" t="s">
        <v>21</v>
      </c>
      <c r="H315" s="3" t="s">
        <v>23</v>
      </c>
      <c r="I315" s="2">
        <v>45972</v>
      </c>
      <c r="J315" s="7">
        <v>0.47569444444444442</v>
      </c>
      <c r="K315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316" spans="2:11" hidden="1" x14ac:dyDescent="0.3">
      <c r="B316" s="2">
        <v>45972</v>
      </c>
      <c r="C316" s="7">
        <v>0.57291666666666663</v>
      </c>
      <c r="D316" s="3" t="s">
        <v>26</v>
      </c>
      <c r="E316" s="3">
        <v>1</v>
      </c>
      <c r="F316" s="3" t="s">
        <v>20</v>
      </c>
      <c r="G316" s="3" t="s">
        <v>21</v>
      </c>
      <c r="H316" s="3" t="s">
        <v>23</v>
      </c>
      <c r="I316" s="2">
        <v>45972</v>
      </c>
      <c r="J316" s="7">
        <v>0.57430555555555551</v>
      </c>
      <c r="K316" s="12">
        <f>IFERROR(IF(FManutencao[[#This Row],[Hora Fim]]="","",(FManutencao[[#This Row],[Data Fim]]+FManutencao[[#This Row],[Hora Fim]])-(FManutencao[[#This Row],[Data Início]]+FManutencao[[#This Row],[Hora Início]])),"Data Fim errada")</f>
        <v>1.3888888934161514E-3</v>
      </c>
    </row>
    <row r="317" spans="2:11" hidden="1" x14ac:dyDescent="0.3">
      <c r="B317" s="2">
        <v>45972</v>
      </c>
      <c r="C317" s="7">
        <v>0.58125000000000004</v>
      </c>
      <c r="D317" s="3" t="s">
        <v>26</v>
      </c>
      <c r="E317" s="3">
        <v>1</v>
      </c>
      <c r="F317" s="3" t="s">
        <v>20</v>
      </c>
      <c r="G317" s="3" t="s">
        <v>21</v>
      </c>
      <c r="H317" s="3" t="s">
        <v>23</v>
      </c>
      <c r="I317" s="2">
        <v>45972</v>
      </c>
      <c r="J317" s="7">
        <v>0.58680555555555558</v>
      </c>
      <c r="K317" s="12">
        <f>IFERROR(IF(FManutencao[[#This Row],[Hora Fim]]="","",(FManutencao[[#This Row],[Data Fim]]+FManutencao[[#This Row],[Hora Fim]])-(FManutencao[[#This Row],[Data Início]]+FManutencao[[#This Row],[Hora Início]])),"Data Fim errada")</f>
        <v>5.5555555518367328E-3</v>
      </c>
    </row>
    <row r="318" spans="2:11" hidden="1" x14ac:dyDescent="0.3">
      <c r="B318" s="2">
        <v>45972</v>
      </c>
      <c r="C318" s="7">
        <v>0.59722222222222221</v>
      </c>
      <c r="D318" s="3" t="s">
        <v>26</v>
      </c>
      <c r="E318" s="3">
        <v>1</v>
      </c>
      <c r="F318" s="3" t="s">
        <v>24</v>
      </c>
      <c r="G318" s="3" t="s">
        <v>21</v>
      </c>
      <c r="H318" s="3" t="s">
        <v>57</v>
      </c>
      <c r="I318" s="2">
        <v>45972</v>
      </c>
      <c r="J318" s="7">
        <v>0.66666666666666663</v>
      </c>
      <c r="K318" s="12">
        <f>IFERROR(IF(FManutencao[[#This Row],[Hora Fim]]="","",(FManutencao[[#This Row],[Data Fim]]+FManutencao[[#This Row],[Hora Fim]])-(FManutencao[[#This Row],[Data Início]]+FManutencao[[#This Row],[Hora Início]])),"Data Fim errada")</f>
        <v>6.9444444445252884E-2</v>
      </c>
    </row>
    <row r="319" spans="2:11" hidden="1" x14ac:dyDescent="0.3">
      <c r="B319" s="2">
        <v>45972</v>
      </c>
      <c r="C319" s="7">
        <v>0.29166666666666669</v>
      </c>
      <c r="D319" s="3" t="s">
        <v>27</v>
      </c>
      <c r="E319" s="3">
        <v>1</v>
      </c>
      <c r="F319" s="3" t="s">
        <v>20</v>
      </c>
      <c r="G319" s="3" t="s">
        <v>29</v>
      </c>
      <c r="H319" s="3" t="s">
        <v>31</v>
      </c>
      <c r="I319" s="2">
        <v>45972</v>
      </c>
      <c r="J319" s="7">
        <v>0.33819444444444446</v>
      </c>
      <c r="K319" s="12">
        <f>IFERROR(IF(FManutencao[[#This Row],[Hora Fim]]="","",(FManutencao[[#This Row],[Data Fim]]+FManutencao[[#This Row],[Hora Fim]])-(FManutencao[[#This Row],[Data Início]]+FManutencao[[#This Row],[Hora Início]])),"Data Fim errada")</f>
        <v>4.6527777776645962E-2</v>
      </c>
    </row>
    <row r="320" spans="2:11" hidden="1" x14ac:dyDescent="0.3">
      <c r="B320" s="2">
        <v>45972</v>
      </c>
      <c r="C320" s="7">
        <v>0.35625000000000001</v>
      </c>
      <c r="D320" s="3" t="s">
        <v>27</v>
      </c>
      <c r="E320" s="3">
        <v>1</v>
      </c>
      <c r="F320" s="3" t="s">
        <v>20</v>
      </c>
      <c r="G320" s="3" t="s">
        <v>21</v>
      </c>
      <c r="H320" s="3" t="s">
        <v>22</v>
      </c>
      <c r="I320" s="2">
        <v>45972</v>
      </c>
      <c r="J320" s="7">
        <v>0.3659722222222222</v>
      </c>
      <c r="K320" s="12">
        <f>IFERROR(IF(FManutencao[[#This Row],[Hora Fim]]="","",(FManutencao[[#This Row],[Data Fim]]+FManutencao[[#This Row],[Hora Fim]])-(FManutencao[[#This Row],[Data Início]]+FManutencao[[#This Row],[Hora Início]])),"Data Fim errada")</f>
        <v>9.7222222248092294E-3</v>
      </c>
    </row>
    <row r="321" spans="2:11" hidden="1" x14ac:dyDescent="0.3">
      <c r="B321" s="2">
        <v>45972</v>
      </c>
      <c r="C321" s="7">
        <v>0.3659722222222222</v>
      </c>
      <c r="D321" s="3" t="s">
        <v>27</v>
      </c>
      <c r="E321" s="3">
        <v>1</v>
      </c>
      <c r="F321" s="3" t="s">
        <v>20</v>
      </c>
      <c r="G321" s="3" t="s">
        <v>21</v>
      </c>
      <c r="H321" s="3" t="s">
        <v>56</v>
      </c>
      <c r="I321" s="2">
        <v>45972</v>
      </c>
      <c r="J321" s="7">
        <v>0.38472222222222224</v>
      </c>
      <c r="K321" s="12">
        <f>IFERROR(IF(FManutencao[[#This Row],[Hora Fim]]="","",(FManutencao[[#This Row],[Data Fim]]+FManutencao[[#This Row],[Hora Fim]])-(FManutencao[[#This Row],[Data Início]]+FManutencao[[#This Row],[Hora Início]])),"Data Fim errada")</f>
        <v>1.8750000002910383E-2</v>
      </c>
    </row>
    <row r="322" spans="2:11" hidden="1" x14ac:dyDescent="0.3">
      <c r="B322" s="2">
        <v>45972</v>
      </c>
      <c r="C322" s="7">
        <v>0.46666666666666667</v>
      </c>
      <c r="D322" s="3" t="s">
        <v>27</v>
      </c>
      <c r="E322" s="3">
        <v>1</v>
      </c>
      <c r="F322" s="3" t="s">
        <v>20</v>
      </c>
      <c r="G322" s="3" t="s">
        <v>21</v>
      </c>
      <c r="H322" s="3" t="s">
        <v>23</v>
      </c>
      <c r="I322" s="2">
        <v>45972</v>
      </c>
      <c r="J322" s="7">
        <v>0.46875</v>
      </c>
      <c r="K322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323" spans="2:11" hidden="1" x14ac:dyDescent="0.3">
      <c r="B323" s="2">
        <v>45972</v>
      </c>
      <c r="C323" s="7">
        <v>0.47430555555555554</v>
      </c>
      <c r="D323" s="3" t="s">
        <v>27</v>
      </c>
      <c r="E323" s="3">
        <v>1</v>
      </c>
      <c r="F323" s="3" t="s">
        <v>20</v>
      </c>
      <c r="G323" s="3" t="s">
        <v>21</v>
      </c>
      <c r="H323" s="3" t="s">
        <v>23</v>
      </c>
      <c r="I323" s="2">
        <v>45972</v>
      </c>
      <c r="J323" s="7">
        <v>0.47569444444444442</v>
      </c>
      <c r="K323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324" spans="2:11" hidden="1" x14ac:dyDescent="0.3">
      <c r="B324" s="2">
        <v>45972</v>
      </c>
      <c r="C324" s="7">
        <v>0.57291666666666663</v>
      </c>
      <c r="D324" s="3" t="s">
        <v>27</v>
      </c>
      <c r="E324" s="3">
        <v>1</v>
      </c>
      <c r="F324" s="3" t="s">
        <v>20</v>
      </c>
      <c r="G324" s="3" t="s">
        <v>21</v>
      </c>
      <c r="H324" s="3" t="s">
        <v>23</v>
      </c>
      <c r="I324" s="2">
        <v>45972</v>
      </c>
      <c r="J324" s="7">
        <v>0.57430555555555551</v>
      </c>
      <c r="K324" s="12">
        <f>IFERROR(IF(FManutencao[[#This Row],[Hora Fim]]="","",(FManutencao[[#This Row],[Data Fim]]+FManutencao[[#This Row],[Hora Fim]])-(FManutencao[[#This Row],[Data Início]]+FManutencao[[#This Row],[Hora Início]])),"Data Fim errada")</f>
        <v>1.3888888934161514E-3</v>
      </c>
    </row>
    <row r="325" spans="2:11" hidden="1" x14ac:dyDescent="0.3">
      <c r="B325" s="2">
        <v>45972</v>
      </c>
      <c r="C325" s="7">
        <v>0.58125000000000004</v>
      </c>
      <c r="D325" s="3" t="s">
        <v>27</v>
      </c>
      <c r="E325" s="3">
        <v>1</v>
      </c>
      <c r="F325" s="3" t="s">
        <v>20</v>
      </c>
      <c r="G325" s="3" t="s">
        <v>21</v>
      </c>
      <c r="H325" s="3" t="s">
        <v>23</v>
      </c>
      <c r="I325" s="2">
        <v>45972</v>
      </c>
      <c r="J325" s="7">
        <v>0.58680555555555558</v>
      </c>
      <c r="K325" s="12">
        <f>IFERROR(IF(FManutencao[[#This Row],[Hora Fim]]="","",(FManutencao[[#This Row],[Data Fim]]+FManutencao[[#This Row],[Hora Fim]])-(FManutencao[[#This Row],[Data Início]]+FManutencao[[#This Row],[Hora Início]])),"Data Fim errada")</f>
        <v>5.5555555518367328E-3</v>
      </c>
    </row>
    <row r="326" spans="2:11" hidden="1" x14ac:dyDescent="0.3">
      <c r="B326" s="2">
        <v>45972</v>
      </c>
      <c r="C326" s="7">
        <v>0.59722222222222221</v>
      </c>
      <c r="D326" s="3" t="s">
        <v>27</v>
      </c>
      <c r="E326" s="3">
        <v>1</v>
      </c>
      <c r="F326" s="3" t="s">
        <v>24</v>
      </c>
      <c r="G326" s="3" t="s">
        <v>21</v>
      </c>
      <c r="H326" s="3" t="s">
        <v>57</v>
      </c>
      <c r="I326" s="2">
        <v>45972</v>
      </c>
      <c r="J326" s="7">
        <v>0.66666666666666663</v>
      </c>
      <c r="K326" s="12">
        <f>IFERROR(IF(FManutencao[[#This Row],[Hora Fim]]="","",(FManutencao[[#This Row],[Data Fim]]+FManutencao[[#This Row],[Hora Fim]])-(FManutencao[[#This Row],[Data Início]]+FManutencao[[#This Row],[Hora Início]])),"Data Fim errada")</f>
        <v>6.9444444445252884E-2</v>
      </c>
    </row>
    <row r="327" spans="2:11" hidden="1" x14ac:dyDescent="0.3">
      <c r="B327" s="2">
        <v>45972</v>
      </c>
      <c r="C327" s="7">
        <v>0.29166666666666669</v>
      </c>
      <c r="D327" s="3" t="s">
        <v>28</v>
      </c>
      <c r="E327" s="3">
        <v>1</v>
      </c>
      <c r="F327" s="3" t="s">
        <v>20</v>
      </c>
      <c r="G327" s="3" t="s">
        <v>21</v>
      </c>
      <c r="H327" s="3" t="s">
        <v>31</v>
      </c>
      <c r="I327" s="2">
        <v>45972</v>
      </c>
      <c r="J327" s="7">
        <v>0.33819444444444446</v>
      </c>
      <c r="K327" s="12">
        <f>IFERROR(IF(FManutencao[[#This Row],[Hora Fim]]="","",(FManutencao[[#This Row],[Data Fim]]+FManutencao[[#This Row],[Hora Fim]])-(FManutencao[[#This Row],[Data Início]]+FManutencao[[#This Row],[Hora Início]])),"Data Fim errada")</f>
        <v>4.6527777776645962E-2</v>
      </c>
    </row>
    <row r="328" spans="2:11" hidden="1" x14ac:dyDescent="0.3">
      <c r="B328" s="2">
        <v>45972</v>
      </c>
      <c r="C328" s="7">
        <v>0.35625000000000001</v>
      </c>
      <c r="D328" s="3" t="s">
        <v>28</v>
      </c>
      <c r="E328" s="3">
        <v>1</v>
      </c>
      <c r="F328" s="3" t="s">
        <v>20</v>
      </c>
      <c r="G328" s="3" t="s">
        <v>21</v>
      </c>
      <c r="H328" s="3" t="s">
        <v>22</v>
      </c>
      <c r="I328" s="2">
        <v>45972</v>
      </c>
      <c r="J328" s="7">
        <v>0.3659722222222222</v>
      </c>
      <c r="K328" s="12">
        <f>IFERROR(IF(FManutencao[[#This Row],[Hora Fim]]="","",(FManutencao[[#This Row],[Data Fim]]+FManutencao[[#This Row],[Hora Fim]])-(FManutencao[[#This Row],[Data Início]]+FManutencao[[#This Row],[Hora Início]])),"Data Fim errada")</f>
        <v>9.7222222248092294E-3</v>
      </c>
    </row>
    <row r="329" spans="2:11" hidden="1" x14ac:dyDescent="0.3">
      <c r="B329" s="2">
        <v>45972</v>
      </c>
      <c r="C329" s="7">
        <v>0.3659722222222222</v>
      </c>
      <c r="D329" s="3" t="s">
        <v>28</v>
      </c>
      <c r="E329" s="3">
        <v>1</v>
      </c>
      <c r="F329" s="3" t="s">
        <v>20</v>
      </c>
      <c r="G329" s="3" t="s">
        <v>21</v>
      </c>
      <c r="H329" s="3" t="s">
        <v>56</v>
      </c>
      <c r="I329" s="2">
        <v>45972</v>
      </c>
      <c r="J329" s="7">
        <v>0.38472222222222224</v>
      </c>
      <c r="K329" s="12">
        <f>IFERROR(IF(FManutencao[[#This Row],[Hora Fim]]="","",(FManutencao[[#This Row],[Data Fim]]+FManutencao[[#This Row],[Hora Fim]])-(FManutencao[[#This Row],[Data Início]]+FManutencao[[#This Row],[Hora Início]])),"Data Fim errada")</f>
        <v>1.8750000002910383E-2</v>
      </c>
    </row>
    <row r="330" spans="2:11" hidden="1" x14ac:dyDescent="0.3">
      <c r="B330" s="2">
        <v>45972</v>
      </c>
      <c r="C330" s="7">
        <v>0.46666666666666667</v>
      </c>
      <c r="D330" s="3" t="s">
        <v>28</v>
      </c>
      <c r="E330" s="3">
        <v>1</v>
      </c>
      <c r="F330" s="3" t="s">
        <v>20</v>
      </c>
      <c r="G330" s="3" t="s">
        <v>29</v>
      </c>
      <c r="H330" s="3" t="s">
        <v>23</v>
      </c>
      <c r="I330" s="2">
        <v>45972</v>
      </c>
      <c r="J330" s="7">
        <v>0.46875</v>
      </c>
      <c r="K330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331" spans="2:11" hidden="1" x14ac:dyDescent="0.3">
      <c r="B331" s="2">
        <v>45972</v>
      </c>
      <c r="C331" s="7">
        <v>0.47430555555555554</v>
      </c>
      <c r="D331" s="3" t="s">
        <v>28</v>
      </c>
      <c r="E331" s="3">
        <v>1</v>
      </c>
      <c r="F331" s="3" t="s">
        <v>20</v>
      </c>
      <c r="G331" s="3" t="s">
        <v>29</v>
      </c>
      <c r="H331" s="3" t="s">
        <v>23</v>
      </c>
      <c r="I331" s="2">
        <v>45972</v>
      </c>
      <c r="J331" s="7">
        <v>0.47569444444444442</v>
      </c>
      <c r="K331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332" spans="2:11" hidden="1" x14ac:dyDescent="0.3">
      <c r="B332" s="2">
        <v>45972</v>
      </c>
      <c r="C332" s="7">
        <v>0.57291666666666663</v>
      </c>
      <c r="D332" s="3" t="s">
        <v>28</v>
      </c>
      <c r="E332" s="3">
        <v>1</v>
      </c>
      <c r="F332" s="3" t="s">
        <v>20</v>
      </c>
      <c r="G332" s="3" t="s">
        <v>29</v>
      </c>
      <c r="H332" s="3" t="s">
        <v>23</v>
      </c>
      <c r="I332" s="2">
        <v>45972</v>
      </c>
      <c r="J332" s="7">
        <v>0.57430555555555551</v>
      </c>
      <c r="K332" s="12">
        <f>IFERROR(IF(FManutencao[[#This Row],[Hora Fim]]="","",(FManutencao[[#This Row],[Data Fim]]+FManutencao[[#This Row],[Hora Fim]])-(FManutencao[[#This Row],[Data Início]]+FManutencao[[#This Row],[Hora Início]])),"Data Fim errada")</f>
        <v>1.3888888934161514E-3</v>
      </c>
    </row>
    <row r="333" spans="2:11" hidden="1" x14ac:dyDescent="0.3">
      <c r="B333" s="2">
        <v>45972</v>
      </c>
      <c r="C333" s="7">
        <v>0.58125000000000004</v>
      </c>
      <c r="D333" s="3" t="s">
        <v>28</v>
      </c>
      <c r="E333" s="3">
        <v>1</v>
      </c>
      <c r="F333" s="3" t="s">
        <v>20</v>
      </c>
      <c r="G333" s="3" t="s">
        <v>29</v>
      </c>
      <c r="H333" s="3" t="s">
        <v>23</v>
      </c>
      <c r="I333" s="2">
        <v>45972</v>
      </c>
      <c r="J333" s="7">
        <v>0.58680555555555558</v>
      </c>
      <c r="K333" s="12">
        <f>IFERROR(IF(FManutencao[[#This Row],[Hora Fim]]="","",(FManutencao[[#This Row],[Data Fim]]+FManutencao[[#This Row],[Hora Fim]])-(FManutencao[[#This Row],[Data Início]]+FManutencao[[#This Row],[Hora Início]])),"Data Fim errada")</f>
        <v>5.5555555518367328E-3</v>
      </c>
    </row>
    <row r="334" spans="2:11" hidden="1" x14ac:dyDescent="0.3">
      <c r="B334" s="2">
        <v>45972</v>
      </c>
      <c r="C334" s="7">
        <v>0.59722222222222221</v>
      </c>
      <c r="D334" s="3" t="s">
        <v>28</v>
      </c>
      <c r="E334" s="3">
        <v>1</v>
      </c>
      <c r="F334" s="3" t="s">
        <v>24</v>
      </c>
      <c r="G334" s="3" t="s">
        <v>21</v>
      </c>
      <c r="H334" s="3" t="s">
        <v>57</v>
      </c>
      <c r="I334" s="2">
        <v>45972</v>
      </c>
      <c r="J334" s="7">
        <v>0.66666666666666663</v>
      </c>
      <c r="K334" s="12">
        <f>IFERROR(IF(FManutencao[[#This Row],[Hora Fim]]="","",(FManutencao[[#This Row],[Data Fim]]+FManutencao[[#This Row],[Hora Fim]])-(FManutencao[[#This Row],[Data Início]]+FManutencao[[#This Row],[Hora Início]])),"Data Fim errada")</f>
        <v>6.9444444445252884E-2</v>
      </c>
    </row>
    <row r="335" spans="2:11" hidden="1" x14ac:dyDescent="0.3">
      <c r="B335" s="2">
        <v>45972</v>
      </c>
      <c r="C335" s="7">
        <v>0.90347222222222223</v>
      </c>
      <c r="D335" s="3" t="s">
        <v>19</v>
      </c>
      <c r="E335" s="3">
        <v>2</v>
      </c>
      <c r="F335" s="3" t="s">
        <v>20</v>
      </c>
      <c r="G335" s="3" t="s">
        <v>21</v>
      </c>
      <c r="H335" s="3" t="s">
        <v>36</v>
      </c>
      <c r="I335" s="2">
        <v>45972</v>
      </c>
      <c r="J335" s="7">
        <v>0.90763888888888888</v>
      </c>
      <c r="K335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336" spans="2:11" hidden="1" x14ac:dyDescent="0.3">
      <c r="B336" s="2">
        <v>45972</v>
      </c>
      <c r="C336" s="7">
        <v>0.93958333333333333</v>
      </c>
      <c r="D336" s="3" t="s">
        <v>19</v>
      </c>
      <c r="E336" s="3">
        <v>2</v>
      </c>
      <c r="F336" s="3" t="s">
        <v>20</v>
      </c>
      <c r="G336" s="3" t="s">
        <v>21</v>
      </c>
      <c r="H336" s="3" t="s">
        <v>23</v>
      </c>
      <c r="I336" s="2">
        <v>45972</v>
      </c>
      <c r="J336" s="7">
        <v>0.94305555555555554</v>
      </c>
      <c r="K336" s="12">
        <f>IFERROR(IF(FManutencao[[#This Row],[Hora Fim]]="","",(FManutencao[[#This Row],[Data Fim]]+FManutencao[[#This Row],[Hora Fim]])-(FManutencao[[#This Row],[Data Início]]+FManutencao[[#This Row],[Hora Início]])),"Data Fim errada")</f>
        <v>3.4722222262644209E-3</v>
      </c>
    </row>
    <row r="337" spans="2:11" hidden="1" x14ac:dyDescent="0.3">
      <c r="B337" s="2">
        <v>45972</v>
      </c>
      <c r="C337" s="7">
        <v>0.9458333333333333</v>
      </c>
      <c r="D337" s="3" t="s">
        <v>19</v>
      </c>
      <c r="E337" s="3">
        <v>2</v>
      </c>
      <c r="F337" s="3" t="s">
        <v>20</v>
      </c>
      <c r="G337" s="3" t="s">
        <v>21</v>
      </c>
      <c r="H337" s="3" t="s">
        <v>23</v>
      </c>
      <c r="I337" s="2">
        <v>45972</v>
      </c>
      <c r="J337" s="7">
        <v>0.9506944444444444</v>
      </c>
      <c r="K337" s="12">
        <f>IFERROR(IF(FManutencao[[#This Row],[Hora Fim]]="","",(FManutencao[[#This Row],[Data Fim]]+FManutencao[[#This Row],[Hora Fim]])-(FManutencao[[#This Row],[Data Início]]+FManutencao[[#This Row],[Hora Início]])),"Data Fim errada")</f>
        <v>4.8611111124046147E-3</v>
      </c>
    </row>
    <row r="338" spans="2:11" hidden="1" x14ac:dyDescent="0.3">
      <c r="B338" s="2">
        <v>45972</v>
      </c>
      <c r="C338" s="7">
        <v>0.95833333333333337</v>
      </c>
      <c r="D338" s="3" t="s">
        <v>19</v>
      </c>
      <c r="E338" s="3">
        <v>2</v>
      </c>
      <c r="F338" s="3" t="s">
        <v>20</v>
      </c>
      <c r="G338" s="3" t="s">
        <v>21</v>
      </c>
      <c r="H338" s="3" t="s">
        <v>23</v>
      </c>
      <c r="I338" s="2">
        <v>45972</v>
      </c>
      <c r="J338" s="7">
        <v>0.96111111111111114</v>
      </c>
      <c r="K338" s="12">
        <f>IFERROR(IF(FManutencao[[#This Row],[Hora Fim]]="","",(FManutencao[[#This Row],[Data Fim]]+FManutencao[[#This Row],[Hora Fim]])-(FManutencao[[#This Row],[Data Início]]+FManutencao[[#This Row],[Hora Início]])),"Data Fim errada")</f>
        <v>2.7777777722803876E-3</v>
      </c>
    </row>
    <row r="339" spans="2:11" hidden="1" x14ac:dyDescent="0.3">
      <c r="B339" s="2">
        <v>45972</v>
      </c>
      <c r="C339" s="7">
        <v>0.97638888888888886</v>
      </c>
      <c r="D339" s="3" t="s">
        <v>19</v>
      </c>
      <c r="E339" s="3">
        <v>2</v>
      </c>
      <c r="F339" s="3" t="s">
        <v>20</v>
      </c>
      <c r="G339" s="3" t="s">
        <v>21</v>
      </c>
      <c r="H339" s="3" t="s">
        <v>58</v>
      </c>
      <c r="I339" s="2">
        <v>45972</v>
      </c>
      <c r="J339" s="7">
        <v>0.98263888888888884</v>
      </c>
      <c r="K339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340" spans="2:11" hidden="1" x14ac:dyDescent="0.3">
      <c r="B340" s="2">
        <v>45972</v>
      </c>
      <c r="C340" s="7">
        <v>0.98541666666666672</v>
      </c>
      <c r="D340" s="3" t="s">
        <v>19</v>
      </c>
      <c r="E340" s="3">
        <v>2</v>
      </c>
      <c r="F340" s="3" t="s">
        <v>20</v>
      </c>
      <c r="G340" s="3" t="s">
        <v>21</v>
      </c>
      <c r="H340" s="3" t="s">
        <v>58</v>
      </c>
      <c r="I340" s="2">
        <v>45972</v>
      </c>
      <c r="J340" s="7">
        <v>0.99027777777777781</v>
      </c>
      <c r="K340" s="12">
        <f>IFERROR(IF(FManutencao[[#This Row],[Hora Fim]]="","",(FManutencao[[#This Row],[Data Fim]]+FManutencao[[#This Row],[Hora Fim]])-(FManutencao[[#This Row],[Data Início]]+FManutencao[[#This Row],[Hora Início]])),"Data Fim errada")</f>
        <v>4.8611111051286571E-3</v>
      </c>
    </row>
    <row r="341" spans="2:11" hidden="1" x14ac:dyDescent="0.3">
      <c r="B341" s="2">
        <v>45972</v>
      </c>
      <c r="C341" s="7">
        <v>2.6388888888888889E-2</v>
      </c>
      <c r="D341" s="3" t="s">
        <v>19</v>
      </c>
      <c r="E341" s="3">
        <v>2</v>
      </c>
      <c r="F341" s="3" t="s">
        <v>20</v>
      </c>
      <c r="G341" s="3" t="s">
        <v>21</v>
      </c>
      <c r="H341" s="3" t="s">
        <v>36</v>
      </c>
      <c r="I341" s="2">
        <v>45972</v>
      </c>
      <c r="J341" s="7">
        <v>2.9166666666666667E-2</v>
      </c>
      <c r="K341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342" spans="2:11" hidden="1" x14ac:dyDescent="0.3">
      <c r="B342" s="2">
        <v>45972</v>
      </c>
      <c r="C342" s="7">
        <v>8.9583333333333334E-2</v>
      </c>
      <c r="D342" s="3" t="s">
        <v>19</v>
      </c>
      <c r="E342" s="3">
        <v>2</v>
      </c>
      <c r="F342" s="3" t="s">
        <v>20</v>
      </c>
      <c r="G342" s="3" t="s">
        <v>21</v>
      </c>
      <c r="H342" s="3" t="s">
        <v>36</v>
      </c>
      <c r="I342" s="2">
        <v>45972</v>
      </c>
      <c r="J342" s="7">
        <v>9.3055555555555558E-2</v>
      </c>
      <c r="K342" s="12">
        <f>IFERROR(IF(FManutencao[[#This Row],[Hora Fim]]="","",(FManutencao[[#This Row],[Data Fim]]+FManutencao[[#This Row],[Hora Fim]])-(FManutencao[[#This Row],[Data Início]]+FManutencao[[#This Row],[Hora Início]])),"Data Fim errada")</f>
        <v>3.4722222189884633E-3</v>
      </c>
    </row>
    <row r="343" spans="2:11" hidden="1" x14ac:dyDescent="0.3">
      <c r="B343" s="2">
        <v>45972</v>
      </c>
      <c r="C343" s="7">
        <v>0.19652777777777777</v>
      </c>
      <c r="D343" s="3" t="s">
        <v>19</v>
      </c>
      <c r="E343" s="3">
        <v>2</v>
      </c>
      <c r="F343" s="3" t="s">
        <v>20</v>
      </c>
      <c r="G343" s="3" t="s">
        <v>21</v>
      </c>
      <c r="H343" s="3" t="s">
        <v>37</v>
      </c>
      <c r="I343" s="2">
        <v>45972</v>
      </c>
      <c r="J343" s="7">
        <v>0.20347222222222222</v>
      </c>
      <c r="K343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344" spans="2:11" hidden="1" x14ac:dyDescent="0.3">
      <c r="B344" s="2">
        <v>45972</v>
      </c>
      <c r="C344" s="7">
        <v>0.21597222222222223</v>
      </c>
      <c r="D344" s="3" t="s">
        <v>19</v>
      </c>
      <c r="E344" s="3">
        <v>2</v>
      </c>
      <c r="F344" s="3" t="s">
        <v>20</v>
      </c>
      <c r="G344" s="3" t="s">
        <v>21</v>
      </c>
      <c r="H344" s="3" t="s">
        <v>36</v>
      </c>
      <c r="I344" s="2">
        <v>45972</v>
      </c>
      <c r="J344" s="7">
        <v>0.22291666666666668</v>
      </c>
      <c r="K344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345" spans="2:11" hidden="1" x14ac:dyDescent="0.3">
      <c r="B345" s="2">
        <v>45972</v>
      </c>
      <c r="C345" s="7">
        <v>0.90347222222222223</v>
      </c>
      <c r="D345" s="3" t="s">
        <v>26</v>
      </c>
      <c r="E345" s="3">
        <v>2</v>
      </c>
      <c r="F345" s="3" t="s">
        <v>20</v>
      </c>
      <c r="G345" s="3" t="s">
        <v>21</v>
      </c>
      <c r="H345" s="3" t="s">
        <v>36</v>
      </c>
      <c r="I345" s="2">
        <v>45972</v>
      </c>
      <c r="J345" s="7">
        <v>0.90763888888888888</v>
      </c>
      <c r="K345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346" spans="2:11" hidden="1" x14ac:dyDescent="0.3">
      <c r="B346" s="2">
        <v>45972</v>
      </c>
      <c r="C346" s="7">
        <v>0.93958333333333333</v>
      </c>
      <c r="D346" s="3" t="s">
        <v>26</v>
      </c>
      <c r="E346" s="3">
        <v>2</v>
      </c>
      <c r="F346" s="3" t="s">
        <v>20</v>
      </c>
      <c r="G346" s="3" t="s">
        <v>21</v>
      </c>
      <c r="H346" s="3" t="s">
        <v>23</v>
      </c>
      <c r="I346" s="2">
        <v>45972</v>
      </c>
      <c r="J346" s="7">
        <v>0.94305555555555554</v>
      </c>
      <c r="K346" s="12">
        <f>IFERROR(IF(FManutencao[[#This Row],[Hora Fim]]="","",(FManutencao[[#This Row],[Data Fim]]+FManutencao[[#This Row],[Hora Fim]])-(FManutencao[[#This Row],[Data Início]]+FManutencao[[#This Row],[Hora Início]])),"Data Fim errada")</f>
        <v>3.4722222262644209E-3</v>
      </c>
    </row>
    <row r="347" spans="2:11" hidden="1" x14ac:dyDescent="0.3">
      <c r="B347" s="2">
        <v>45972</v>
      </c>
      <c r="C347" s="7">
        <v>0.9458333333333333</v>
      </c>
      <c r="D347" s="3" t="s">
        <v>26</v>
      </c>
      <c r="E347" s="3">
        <v>2</v>
      </c>
      <c r="F347" s="3" t="s">
        <v>20</v>
      </c>
      <c r="G347" s="3" t="s">
        <v>21</v>
      </c>
      <c r="H347" s="3" t="s">
        <v>23</v>
      </c>
      <c r="I347" s="2">
        <v>45972</v>
      </c>
      <c r="J347" s="7">
        <v>0.9506944444444444</v>
      </c>
      <c r="K347" s="12">
        <f>IFERROR(IF(FManutencao[[#This Row],[Hora Fim]]="","",(FManutencao[[#This Row],[Data Fim]]+FManutencao[[#This Row],[Hora Fim]])-(FManutencao[[#This Row],[Data Início]]+FManutencao[[#This Row],[Hora Início]])),"Data Fim errada")</f>
        <v>4.8611111124046147E-3</v>
      </c>
    </row>
    <row r="348" spans="2:11" hidden="1" x14ac:dyDescent="0.3">
      <c r="B348" s="2">
        <v>45972</v>
      </c>
      <c r="C348" s="7">
        <v>0.95833333333333337</v>
      </c>
      <c r="D348" s="3" t="s">
        <v>26</v>
      </c>
      <c r="E348" s="3">
        <v>2</v>
      </c>
      <c r="F348" s="3" t="s">
        <v>20</v>
      </c>
      <c r="G348" s="3" t="s">
        <v>21</v>
      </c>
      <c r="H348" s="3" t="s">
        <v>23</v>
      </c>
      <c r="I348" s="2">
        <v>45972</v>
      </c>
      <c r="J348" s="7">
        <v>0.96111111111111114</v>
      </c>
      <c r="K348" s="12">
        <f>IFERROR(IF(FManutencao[[#This Row],[Hora Fim]]="","",(FManutencao[[#This Row],[Data Fim]]+FManutencao[[#This Row],[Hora Fim]])-(FManutencao[[#This Row],[Data Início]]+FManutencao[[#This Row],[Hora Início]])),"Data Fim errada")</f>
        <v>2.7777777722803876E-3</v>
      </c>
    </row>
    <row r="349" spans="2:11" hidden="1" x14ac:dyDescent="0.3">
      <c r="B349" s="2">
        <v>45972</v>
      </c>
      <c r="C349" s="7">
        <v>0.97638888888888886</v>
      </c>
      <c r="D349" s="3" t="s">
        <v>26</v>
      </c>
      <c r="E349" s="3">
        <v>2</v>
      </c>
      <c r="F349" s="3" t="s">
        <v>20</v>
      </c>
      <c r="G349" s="3" t="s">
        <v>21</v>
      </c>
      <c r="H349" s="3" t="s">
        <v>58</v>
      </c>
      <c r="I349" s="2">
        <v>45972</v>
      </c>
      <c r="J349" s="7">
        <v>0.98263888888888884</v>
      </c>
      <c r="K349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350" spans="2:11" hidden="1" x14ac:dyDescent="0.3">
      <c r="B350" s="2">
        <v>45972</v>
      </c>
      <c r="C350" s="7">
        <v>0.98541666666666672</v>
      </c>
      <c r="D350" s="3" t="s">
        <v>26</v>
      </c>
      <c r="E350" s="3">
        <v>2</v>
      </c>
      <c r="F350" s="3" t="s">
        <v>20</v>
      </c>
      <c r="G350" s="3" t="s">
        <v>21</v>
      </c>
      <c r="H350" s="3" t="s">
        <v>58</v>
      </c>
      <c r="I350" s="2">
        <v>45972</v>
      </c>
      <c r="J350" s="7">
        <v>0.99027777777777781</v>
      </c>
      <c r="K350" s="12">
        <f>IFERROR(IF(FManutencao[[#This Row],[Hora Fim]]="","",(FManutencao[[#This Row],[Data Fim]]+FManutencao[[#This Row],[Hora Fim]])-(FManutencao[[#This Row],[Data Início]]+FManutencao[[#This Row],[Hora Início]])),"Data Fim errada")</f>
        <v>4.8611111051286571E-3</v>
      </c>
    </row>
    <row r="351" spans="2:11" hidden="1" x14ac:dyDescent="0.3">
      <c r="B351" s="2">
        <v>45972</v>
      </c>
      <c r="C351" s="7">
        <v>2.6388888888888889E-2</v>
      </c>
      <c r="D351" s="3" t="s">
        <v>26</v>
      </c>
      <c r="E351" s="3">
        <v>2</v>
      </c>
      <c r="F351" s="3" t="s">
        <v>20</v>
      </c>
      <c r="G351" s="3" t="s">
        <v>21</v>
      </c>
      <c r="H351" s="3" t="s">
        <v>36</v>
      </c>
      <c r="I351" s="2">
        <v>45972</v>
      </c>
      <c r="J351" s="7">
        <v>2.9166666666666667E-2</v>
      </c>
      <c r="K351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352" spans="2:11" hidden="1" x14ac:dyDescent="0.3">
      <c r="B352" s="2">
        <v>45972</v>
      </c>
      <c r="C352" s="7">
        <v>8.9583333333333334E-2</v>
      </c>
      <c r="D352" s="3" t="s">
        <v>26</v>
      </c>
      <c r="E352" s="3">
        <v>2</v>
      </c>
      <c r="F352" s="3" t="s">
        <v>20</v>
      </c>
      <c r="G352" s="3" t="s">
        <v>21</v>
      </c>
      <c r="H352" s="3" t="s">
        <v>36</v>
      </c>
      <c r="I352" s="2">
        <v>45972</v>
      </c>
      <c r="J352" s="7">
        <v>9.3055555555555558E-2</v>
      </c>
      <c r="K352" s="12">
        <f>IFERROR(IF(FManutencao[[#This Row],[Hora Fim]]="","",(FManutencao[[#This Row],[Data Fim]]+FManutencao[[#This Row],[Hora Fim]])-(FManutencao[[#This Row],[Data Início]]+FManutencao[[#This Row],[Hora Início]])),"Data Fim errada")</f>
        <v>3.4722222189884633E-3</v>
      </c>
    </row>
    <row r="353" spans="2:11" hidden="1" x14ac:dyDescent="0.3">
      <c r="B353" s="2">
        <v>45972</v>
      </c>
      <c r="C353" s="7">
        <v>0.19652777777777777</v>
      </c>
      <c r="D353" s="3" t="s">
        <v>26</v>
      </c>
      <c r="E353" s="3">
        <v>2</v>
      </c>
      <c r="F353" s="3" t="s">
        <v>20</v>
      </c>
      <c r="G353" s="3" t="s">
        <v>21</v>
      </c>
      <c r="H353" s="3" t="s">
        <v>37</v>
      </c>
      <c r="I353" s="2">
        <v>45972</v>
      </c>
      <c r="J353" s="7">
        <v>0.20347222222222222</v>
      </c>
      <c r="K353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354" spans="2:11" hidden="1" x14ac:dyDescent="0.3">
      <c r="B354" s="2">
        <v>45972</v>
      </c>
      <c r="C354" s="7">
        <v>0.21597222222222223</v>
      </c>
      <c r="D354" s="3" t="s">
        <v>26</v>
      </c>
      <c r="E354" s="3">
        <v>2</v>
      </c>
      <c r="F354" s="3" t="s">
        <v>20</v>
      </c>
      <c r="G354" s="3" t="s">
        <v>21</v>
      </c>
      <c r="H354" s="3" t="s">
        <v>36</v>
      </c>
      <c r="I354" s="2">
        <v>45972</v>
      </c>
      <c r="J354" s="7">
        <v>0.22291666666666668</v>
      </c>
      <c r="K354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355" spans="2:11" hidden="1" x14ac:dyDescent="0.3">
      <c r="B355" s="2">
        <v>45972</v>
      </c>
      <c r="C355" s="7">
        <v>0.90347222222222223</v>
      </c>
      <c r="D355" s="3" t="s">
        <v>27</v>
      </c>
      <c r="E355" s="3">
        <v>2</v>
      </c>
      <c r="F355" s="3" t="s">
        <v>20</v>
      </c>
      <c r="G355" s="3" t="s">
        <v>21</v>
      </c>
      <c r="H355" s="3" t="s">
        <v>36</v>
      </c>
      <c r="I355" s="2">
        <v>45972</v>
      </c>
      <c r="J355" s="7">
        <v>0.90763888888888888</v>
      </c>
      <c r="K355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356" spans="2:11" hidden="1" x14ac:dyDescent="0.3">
      <c r="B356" s="2">
        <v>45972</v>
      </c>
      <c r="C356" s="7">
        <v>0.93958333333333333</v>
      </c>
      <c r="D356" s="3" t="s">
        <v>27</v>
      </c>
      <c r="E356" s="3">
        <v>2</v>
      </c>
      <c r="F356" s="3" t="s">
        <v>20</v>
      </c>
      <c r="G356" s="3" t="s">
        <v>21</v>
      </c>
      <c r="H356" s="3" t="s">
        <v>23</v>
      </c>
      <c r="I356" s="2">
        <v>45972</v>
      </c>
      <c r="J356" s="7">
        <v>0.94305555555555554</v>
      </c>
      <c r="K356" s="12">
        <f>IFERROR(IF(FManutencao[[#This Row],[Hora Fim]]="","",(FManutencao[[#This Row],[Data Fim]]+FManutencao[[#This Row],[Hora Fim]])-(FManutencao[[#This Row],[Data Início]]+FManutencao[[#This Row],[Hora Início]])),"Data Fim errada")</f>
        <v>3.4722222262644209E-3</v>
      </c>
    </row>
    <row r="357" spans="2:11" hidden="1" x14ac:dyDescent="0.3">
      <c r="B357" s="2">
        <v>45972</v>
      </c>
      <c r="C357" s="7">
        <v>0.9458333333333333</v>
      </c>
      <c r="D357" s="3" t="s">
        <v>27</v>
      </c>
      <c r="E357" s="3">
        <v>2</v>
      </c>
      <c r="F357" s="3" t="s">
        <v>20</v>
      </c>
      <c r="G357" s="3" t="s">
        <v>21</v>
      </c>
      <c r="H357" s="3" t="s">
        <v>23</v>
      </c>
      <c r="I357" s="2">
        <v>45972</v>
      </c>
      <c r="J357" s="7">
        <v>0.9506944444444444</v>
      </c>
      <c r="K357" s="12">
        <f>IFERROR(IF(FManutencao[[#This Row],[Hora Fim]]="","",(FManutencao[[#This Row],[Data Fim]]+FManutencao[[#This Row],[Hora Fim]])-(FManutencao[[#This Row],[Data Início]]+FManutencao[[#This Row],[Hora Início]])),"Data Fim errada")</f>
        <v>4.8611111124046147E-3</v>
      </c>
    </row>
    <row r="358" spans="2:11" hidden="1" x14ac:dyDescent="0.3">
      <c r="B358" s="2">
        <v>45972</v>
      </c>
      <c r="C358" s="7">
        <v>0.95833333333333337</v>
      </c>
      <c r="D358" s="3" t="s">
        <v>27</v>
      </c>
      <c r="E358" s="3">
        <v>2</v>
      </c>
      <c r="F358" s="3" t="s">
        <v>20</v>
      </c>
      <c r="G358" s="3" t="s">
        <v>21</v>
      </c>
      <c r="H358" s="3" t="s">
        <v>23</v>
      </c>
      <c r="I358" s="2">
        <v>45972</v>
      </c>
      <c r="J358" s="7">
        <v>0.96111111111111114</v>
      </c>
      <c r="K358" s="12">
        <f>IFERROR(IF(FManutencao[[#This Row],[Hora Fim]]="","",(FManutencao[[#This Row],[Data Fim]]+FManutencao[[#This Row],[Hora Fim]])-(FManutencao[[#This Row],[Data Início]]+FManutencao[[#This Row],[Hora Início]])),"Data Fim errada")</f>
        <v>2.7777777722803876E-3</v>
      </c>
    </row>
    <row r="359" spans="2:11" hidden="1" x14ac:dyDescent="0.3">
      <c r="B359" s="2">
        <v>45972</v>
      </c>
      <c r="C359" s="7">
        <v>0.97638888888888886</v>
      </c>
      <c r="D359" s="3" t="s">
        <v>27</v>
      </c>
      <c r="E359" s="3">
        <v>2</v>
      </c>
      <c r="F359" s="3" t="s">
        <v>20</v>
      </c>
      <c r="G359" s="3" t="s">
        <v>29</v>
      </c>
      <c r="H359" s="3" t="s">
        <v>58</v>
      </c>
      <c r="I359" s="2">
        <v>45972</v>
      </c>
      <c r="J359" s="7">
        <v>0.98263888888888884</v>
      </c>
      <c r="K359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360" spans="2:11" hidden="1" x14ac:dyDescent="0.3">
      <c r="B360" s="2">
        <v>45972</v>
      </c>
      <c r="C360" s="7">
        <v>0.98541666666666672</v>
      </c>
      <c r="D360" s="3" t="s">
        <v>27</v>
      </c>
      <c r="E360" s="3">
        <v>2</v>
      </c>
      <c r="F360" s="3" t="s">
        <v>20</v>
      </c>
      <c r="G360" s="3" t="s">
        <v>29</v>
      </c>
      <c r="H360" s="3" t="s">
        <v>58</v>
      </c>
      <c r="I360" s="2">
        <v>45972</v>
      </c>
      <c r="J360" s="7">
        <v>0.99027777777777781</v>
      </c>
      <c r="K360" s="12">
        <f>IFERROR(IF(FManutencao[[#This Row],[Hora Fim]]="","",(FManutencao[[#This Row],[Data Fim]]+FManutencao[[#This Row],[Hora Fim]])-(FManutencao[[#This Row],[Data Início]]+FManutencao[[#This Row],[Hora Início]])),"Data Fim errada")</f>
        <v>4.8611111051286571E-3</v>
      </c>
    </row>
    <row r="361" spans="2:11" hidden="1" x14ac:dyDescent="0.3">
      <c r="B361" s="2">
        <v>45972</v>
      </c>
      <c r="C361" s="7">
        <v>2.6388888888888889E-2</v>
      </c>
      <c r="D361" s="3" t="s">
        <v>27</v>
      </c>
      <c r="E361" s="3">
        <v>2</v>
      </c>
      <c r="F361" s="3" t="s">
        <v>20</v>
      </c>
      <c r="G361" s="3" t="s">
        <v>21</v>
      </c>
      <c r="H361" s="3" t="s">
        <v>36</v>
      </c>
      <c r="I361" s="2">
        <v>45972</v>
      </c>
      <c r="J361" s="7">
        <v>2.9166666666666667E-2</v>
      </c>
      <c r="K361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362" spans="2:11" hidden="1" x14ac:dyDescent="0.3">
      <c r="B362" s="2">
        <v>45972</v>
      </c>
      <c r="C362" s="7">
        <v>8.9583333333333334E-2</v>
      </c>
      <c r="D362" s="3" t="s">
        <v>27</v>
      </c>
      <c r="E362" s="3">
        <v>2</v>
      </c>
      <c r="F362" s="3" t="s">
        <v>20</v>
      </c>
      <c r="G362" s="3" t="s">
        <v>21</v>
      </c>
      <c r="H362" s="3" t="s">
        <v>36</v>
      </c>
      <c r="I362" s="2">
        <v>45972</v>
      </c>
      <c r="J362" s="7">
        <v>9.3055555555555558E-2</v>
      </c>
      <c r="K362" s="12">
        <f>IFERROR(IF(FManutencao[[#This Row],[Hora Fim]]="","",(FManutencao[[#This Row],[Data Fim]]+FManutencao[[#This Row],[Hora Fim]])-(FManutencao[[#This Row],[Data Início]]+FManutencao[[#This Row],[Hora Início]])),"Data Fim errada")</f>
        <v>3.4722222189884633E-3</v>
      </c>
    </row>
    <row r="363" spans="2:11" hidden="1" x14ac:dyDescent="0.3">
      <c r="B363" s="2">
        <v>45972</v>
      </c>
      <c r="C363" s="7">
        <v>0.19652777777777777</v>
      </c>
      <c r="D363" s="3" t="s">
        <v>27</v>
      </c>
      <c r="E363" s="3">
        <v>2</v>
      </c>
      <c r="F363" s="3" t="s">
        <v>20</v>
      </c>
      <c r="G363" s="3" t="s">
        <v>21</v>
      </c>
      <c r="H363" s="3" t="s">
        <v>37</v>
      </c>
      <c r="I363" s="2">
        <v>45972</v>
      </c>
      <c r="J363" s="7">
        <v>0.20347222222222222</v>
      </c>
      <c r="K363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364" spans="2:11" hidden="1" x14ac:dyDescent="0.3">
      <c r="B364" s="2">
        <v>45972</v>
      </c>
      <c r="C364" s="7">
        <v>0.21597222222222223</v>
      </c>
      <c r="D364" s="3" t="s">
        <v>27</v>
      </c>
      <c r="E364" s="3">
        <v>2</v>
      </c>
      <c r="F364" s="3" t="s">
        <v>20</v>
      </c>
      <c r="G364" s="3" t="s">
        <v>21</v>
      </c>
      <c r="H364" s="3" t="s">
        <v>36</v>
      </c>
      <c r="I364" s="2">
        <v>45972</v>
      </c>
      <c r="J364" s="7">
        <v>0.22291666666666668</v>
      </c>
      <c r="K364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365" spans="2:11" hidden="1" x14ac:dyDescent="0.3">
      <c r="B365" s="2">
        <v>45972</v>
      </c>
      <c r="C365" s="7">
        <v>0.90347222222222223</v>
      </c>
      <c r="D365" s="3" t="s">
        <v>28</v>
      </c>
      <c r="E365" s="3">
        <v>2</v>
      </c>
      <c r="F365" s="3" t="s">
        <v>20</v>
      </c>
      <c r="G365" s="3" t="s">
        <v>21</v>
      </c>
      <c r="H365" s="3" t="s">
        <v>36</v>
      </c>
      <c r="I365" s="2">
        <v>45972</v>
      </c>
      <c r="J365" s="7">
        <v>0.90763888888888888</v>
      </c>
      <c r="K365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366" spans="2:11" hidden="1" x14ac:dyDescent="0.3">
      <c r="B366" s="2">
        <v>45972</v>
      </c>
      <c r="C366" s="7">
        <v>0.93958333333333333</v>
      </c>
      <c r="D366" s="3" t="s">
        <v>28</v>
      </c>
      <c r="E366" s="3">
        <v>2</v>
      </c>
      <c r="F366" s="3" t="s">
        <v>20</v>
      </c>
      <c r="G366" s="3" t="s">
        <v>29</v>
      </c>
      <c r="H366" s="3" t="s">
        <v>23</v>
      </c>
      <c r="I366" s="2">
        <v>45972</v>
      </c>
      <c r="J366" s="7">
        <v>0.94305555555555554</v>
      </c>
      <c r="K366" s="12">
        <f>IFERROR(IF(FManutencao[[#This Row],[Hora Fim]]="","",(FManutencao[[#This Row],[Data Fim]]+FManutencao[[#This Row],[Hora Fim]])-(FManutencao[[#This Row],[Data Início]]+FManutencao[[#This Row],[Hora Início]])),"Data Fim errada")</f>
        <v>3.4722222262644209E-3</v>
      </c>
    </row>
    <row r="367" spans="2:11" hidden="1" x14ac:dyDescent="0.3">
      <c r="B367" s="2">
        <v>45972</v>
      </c>
      <c r="C367" s="7">
        <v>0.9458333333333333</v>
      </c>
      <c r="D367" s="3" t="s">
        <v>28</v>
      </c>
      <c r="E367" s="3">
        <v>2</v>
      </c>
      <c r="F367" s="3" t="s">
        <v>20</v>
      </c>
      <c r="G367" s="3" t="s">
        <v>29</v>
      </c>
      <c r="H367" s="3" t="s">
        <v>23</v>
      </c>
      <c r="I367" s="2">
        <v>45972</v>
      </c>
      <c r="J367" s="7">
        <v>0.9506944444444444</v>
      </c>
      <c r="K367" s="12">
        <f>IFERROR(IF(FManutencao[[#This Row],[Hora Fim]]="","",(FManutencao[[#This Row],[Data Fim]]+FManutencao[[#This Row],[Hora Fim]])-(FManutencao[[#This Row],[Data Início]]+FManutencao[[#This Row],[Hora Início]])),"Data Fim errada")</f>
        <v>4.8611111124046147E-3</v>
      </c>
    </row>
    <row r="368" spans="2:11" hidden="1" x14ac:dyDescent="0.3">
      <c r="B368" s="2">
        <v>45972</v>
      </c>
      <c r="C368" s="7">
        <v>0.95833333333333337</v>
      </c>
      <c r="D368" s="3" t="s">
        <v>28</v>
      </c>
      <c r="E368" s="3">
        <v>2</v>
      </c>
      <c r="F368" s="3" t="s">
        <v>20</v>
      </c>
      <c r="G368" s="3" t="s">
        <v>29</v>
      </c>
      <c r="H368" s="3" t="s">
        <v>23</v>
      </c>
      <c r="I368" s="2">
        <v>45972</v>
      </c>
      <c r="J368" s="7">
        <v>0.96111111111111114</v>
      </c>
      <c r="K368" s="12">
        <f>IFERROR(IF(FManutencao[[#This Row],[Hora Fim]]="","",(FManutencao[[#This Row],[Data Fim]]+FManutencao[[#This Row],[Hora Fim]])-(FManutencao[[#This Row],[Data Início]]+FManutencao[[#This Row],[Hora Início]])),"Data Fim errada")</f>
        <v>2.7777777722803876E-3</v>
      </c>
    </row>
    <row r="369" spans="2:11" hidden="1" x14ac:dyDescent="0.3">
      <c r="B369" s="2">
        <v>45972</v>
      </c>
      <c r="C369" s="7">
        <v>0.97638888888888886</v>
      </c>
      <c r="D369" s="3" t="s">
        <v>28</v>
      </c>
      <c r="E369" s="3">
        <v>2</v>
      </c>
      <c r="F369" s="3" t="s">
        <v>20</v>
      </c>
      <c r="G369" s="3" t="s">
        <v>21</v>
      </c>
      <c r="H369" s="3" t="s">
        <v>58</v>
      </c>
      <c r="I369" s="2">
        <v>45972</v>
      </c>
      <c r="J369" s="7">
        <v>0.98263888888888884</v>
      </c>
      <c r="K369" s="12">
        <f>IFERROR(IF(FManutencao[[#This Row],[Hora Fim]]="","",(FManutencao[[#This Row],[Data Fim]]+FManutencao[[#This Row],[Hora Fim]])-(FManutencao[[#This Row],[Data Início]]+FManutencao[[#This Row],[Hora Início]])),"Data Fim errada")</f>
        <v>6.2499999985448085E-3</v>
      </c>
    </row>
    <row r="370" spans="2:11" hidden="1" x14ac:dyDescent="0.3">
      <c r="B370" s="2">
        <v>45972</v>
      </c>
      <c r="C370" s="7">
        <v>0.98541666666666672</v>
      </c>
      <c r="D370" s="3" t="s">
        <v>28</v>
      </c>
      <c r="E370" s="3">
        <v>2</v>
      </c>
      <c r="F370" s="3" t="s">
        <v>20</v>
      </c>
      <c r="G370" s="3" t="s">
        <v>21</v>
      </c>
      <c r="H370" s="3" t="s">
        <v>58</v>
      </c>
      <c r="I370" s="2">
        <v>45972</v>
      </c>
      <c r="J370" s="7">
        <v>0.99027777777777781</v>
      </c>
      <c r="K370" s="12">
        <f>IFERROR(IF(FManutencao[[#This Row],[Hora Fim]]="","",(FManutencao[[#This Row],[Data Fim]]+FManutencao[[#This Row],[Hora Fim]])-(FManutencao[[#This Row],[Data Início]]+FManutencao[[#This Row],[Hora Início]])),"Data Fim errada")</f>
        <v>4.8611111051286571E-3</v>
      </c>
    </row>
    <row r="371" spans="2:11" hidden="1" x14ac:dyDescent="0.3">
      <c r="B371" s="2">
        <v>45972</v>
      </c>
      <c r="C371" s="7">
        <v>2.6388888888888889E-2</v>
      </c>
      <c r="D371" s="3" t="s">
        <v>28</v>
      </c>
      <c r="E371" s="3">
        <v>2</v>
      </c>
      <c r="F371" s="3" t="s">
        <v>20</v>
      </c>
      <c r="G371" s="3" t="s">
        <v>21</v>
      </c>
      <c r="H371" s="3" t="s">
        <v>36</v>
      </c>
      <c r="I371" s="2">
        <v>45972</v>
      </c>
      <c r="J371" s="7">
        <v>2.9166666666666667E-2</v>
      </c>
      <c r="K371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372" spans="2:11" hidden="1" x14ac:dyDescent="0.3">
      <c r="B372" s="2">
        <v>45972</v>
      </c>
      <c r="C372" s="7">
        <v>8.9583333333333334E-2</v>
      </c>
      <c r="D372" s="3" t="s">
        <v>28</v>
      </c>
      <c r="E372" s="3">
        <v>2</v>
      </c>
      <c r="F372" s="3" t="s">
        <v>20</v>
      </c>
      <c r="G372" s="3" t="s">
        <v>21</v>
      </c>
      <c r="H372" s="3" t="s">
        <v>36</v>
      </c>
      <c r="I372" s="2">
        <v>45972</v>
      </c>
      <c r="J372" s="7">
        <v>9.3055555555555558E-2</v>
      </c>
      <c r="K372" s="12">
        <f>IFERROR(IF(FManutencao[[#This Row],[Hora Fim]]="","",(FManutencao[[#This Row],[Data Fim]]+FManutencao[[#This Row],[Hora Fim]])-(FManutencao[[#This Row],[Data Início]]+FManutencao[[#This Row],[Hora Início]])),"Data Fim errada")</f>
        <v>3.4722222189884633E-3</v>
      </c>
    </row>
    <row r="373" spans="2:11" hidden="1" x14ac:dyDescent="0.3">
      <c r="B373" s="2">
        <v>45972</v>
      </c>
      <c r="C373" s="7">
        <v>0.19652777777777777</v>
      </c>
      <c r="D373" s="3" t="s">
        <v>28</v>
      </c>
      <c r="E373" s="3">
        <v>2</v>
      </c>
      <c r="F373" s="3" t="s">
        <v>20</v>
      </c>
      <c r="G373" s="3" t="s">
        <v>21</v>
      </c>
      <c r="H373" s="3" t="s">
        <v>37</v>
      </c>
      <c r="I373" s="2">
        <v>45972</v>
      </c>
      <c r="J373" s="7">
        <v>0.20347222222222222</v>
      </c>
      <c r="K373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374" spans="2:11" hidden="1" x14ac:dyDescent="0.3">
      <c r="B374" s="2">
        <v>45972</v>
      </c>
      <c r="C374" s="7">
        <v>0.21597222222222223</v>
      </c>
      <c r="D374" s="3" t="s">
        <v>28</v>
      </c>
      <c r="E374" s="3">
        <v>2</v>
      </c>
      <c r="F374" s="3" t="s">
        <v>20</v>
      </c>
      <c r="G374" s="3" t="s">
        <v>21</v>
      </c>
      <c r="H374" s="3" t="s">
        <v>36</v>
      </c>
      <c r="I374" s="2">
        <v>45972</v>
      </c>
      <c r="J374" s="7">
        <v>0.22291666666666668</v>
      </c>
      <c r="K374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375" spans="2:11" hidden="1" x14ac:dyDescent="0.3">
      <c r="B375" s="2">
        <v>45973</v>
      </c>
      <c r="C375" s="7">
        <v>0.30069444444444443</v>
      </c>
      <c r="D375" s="3" t="s">
        <v>19</v>
      </c>
      <c r="E375" s="3">
        <v>1</v>
      </c>
      <c r="F375" s="3" t="s">
        <v>20</v>
      </c>
      <c r="G375" s="3" t="s">
        <v>21</v>
      </c>
      <c r="H375" s="3" t="s">
        <v>22</v>
      </c>
      <c r="I375" s="2">
        <v>45973</v>
      </c>
      <c r="J375" s="7">
        <v>0.31944444444444442</v>
      </c>
      <c r="K375" s="12">
        <f>IFERROR(IF(FManutencao[[#This Row],[Hora Fim]]="","",(FManutencao[[#This Row],[Data Fim]]+FManutencao[[#This Row],[Hora Fim]])-(FManutencao[[#This Row],[Data Início]]+FManutencao[[#This Row],[Hora Início]])),"Data Fim errada")</f>
        <v>1.8750000002910383E-2</v>
      </c>
    </row>
    <row r="376" spans="2:11" hidden="1" x14ac:dyDescent="0.3">
      <c r="B376" s="2">
        <v>45973</v>
      </c>
      <c r="C376" s="7">
        <v>0.54374999999999996</v>
      </c>
      <c r="D376" s="3" t="s">
        <v>19</v>
      </c>
      <c r="E376" s="3">
        <v>1</v>
      </c>
      <c r="F376" s="3" t="s">
        <v>20</v>
      </c>
      <c r="G376" s="3" t="s">
        <v>21</v>
      </c>
      <c r="H376" s="3" t="s">
        <v>43</v>
      </c>
      <c r="I376" s="2">
        <v>45973</v>
      </c>
      <c r="J376" s="7">
        <v>0.54861111111111116</v>
      </c>
      <c r="K376" s="12">
        <f>IFERROR(IF(FManutencao[[#This Row],[Hora Fim]]="","",(FManutencao[[#This Row],[Data Fim]]+FManutencao[[#This Row],[Hora Fim]])-(FManutencao[[#This Row],[Data Início]]+FManutencao[[#This Row],[Hora Início]])),"Data Fim errada")</f>
        <v>4.8611111124046147E-3</v>
      </c>
    </row>
    <row r="377" spans="2:11" hidden="1" x14ac:dyDescent="0.3">
      <c r="B377" s="2">
        <v>45973</v>
      </c>
      <c r="C377" s="7">
        <v>0.5756944444444444</v>
      </c>
      <c r="D377" s="3" t="s">
        <v>19</v>
      </c>
      <c r="E377" s="3">
        <v>1</v>
      </c>
      <c r="F377" s="3" t="s">
        <v>20</v>
      </c>
      <c r="G377" s="3" t="s">
        <v>21</v>
      </c>
      <c r="H377" s="3" t="s">
        <v>43</v>
      </c>
      <c r="I377" s="2">
        <v>45973</v>
      </c>
      <c r="J377" s="7">
        <v>0.57708333333333328</v>
      </c>
      <c r="K377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378" spans="2:11" hidden="1" x14ac:dyDescent="0.3">
      <c r="B378" s="2">
        <v>45973</v>
      </c>
      <c r="C378" s="7">
        <v>0.60833333333333328</v>
      </c>
      <c r="D378" s="3" t="s">
        <v>19</v>
      </c>
      <c r="E378" s="3">
        <v>1</v>
      </c>
      <c r="F378" s="3" t="s">
        <v>20</v>
      </c>
      <c r="G378" s="3" t="s">
        <v>21</v>
      </c>
      <c r="H378" s="3" t="s">
        <v>23</v>
      </c>
      <c r="I378" s="2">
        <v>45973</v>
      </c>
      <c r="J378" s="7">
        <v>0.60972222222222228</v>
      </c>
      <c r="K378" s="12">
        <f>IFERROR(IF(FManutencao[[#This Row],[Hora Fim]]="","",(FManutencao[[#This Row],[Data Fim]]+FManutencao[[#This Row],[Hora Fim]])-(FManutencao[[#This Row],[Data Início]]+FManutencao[[#This Row],[Hora Início]])),"Data Fim errada")</f>
        <v>1.3888888934161514E-3</v>
      </c>
    </row>
    <row r="379" spans="2:11" hidden="1" x14ac:dyDescent="0.3">
      <c r="B379" s="2">
        <v>45973</v>
      </c>
      <c r="C379" s="7">
        <v>0.73124999999999996</v>
      </c>
      <c r="D379" s="3" t="s">
        <v>19</v>
      </c>
      <c r="E379" s="3">
        <v>1</v>
      </c>
      <c r="F379" s="3" t="s">
        <v>20</v>
      </c>
      <c r="G379" s="3" t="s">
        <v>21</v>
      </c>
      <c r="H379" s="3" t="s">
        <v>22</v>
      </c>
      <c r="I379" s="2">
        <v>45973</v>
      </c>
      <c r="J379" s="7">
        <v>0.7416666666666667</v>
      </c>
      <c r="K379" s="12">
        <f>IFERROR(IF(FManutencao[[#This Row],[Hora Fim]]="","",(FManutencao[[#This Row],[Data Fim]]+FManutencao[[#This Row],[Hora Fim]])-(FManutencao[[#This Row],[Data Início]]+FManutencao[[#This Row],[Hora Início]])),"Data Fim errada")</f>
        <v>1.0416666671517305E-2</v>
      </c>
    </row>
    <row r="380" spans="2:11" hidden="1" x14ac:dyDescent="0.3">
      <c r="B380" s="2">
        <v>45973</v>
      </c>
      <c r="C380" s="7">
        <v>0.78472222222222221</v>
      </c>
      <c r="D380" s="3" t="s">
        <v>19</v>
      </c>
      <c r="E380" s="3">
        <v>1</v>
      </c>
      <c r="F380" s="3" t="s">
        <v>20</v>
      </c>
      <c r="G380" s="3" t="s">
        <v>21</v>
      </c>
      <c r="H380" s="3" t="s">
        <v>50</v>
      </c>
      <c r="I380" s="2">
        <v>45973</v>
      </c>
      <c r="J380" s="7">
        <v>0.79166666666666663</v>
      </c>
      <c r="K380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381" spans="2:11" hidden="1" x14ac:dyDescent="0.3">
      <c r="B381" s="2">
        <v>45973</v>
      </c>
      <c r="C381" s="7">
        <v>0.30069444444444443</v>
      </c>
      <c r="D381" s="3" t="s">
        <v>26</v>
      </c>
      <c r="E381" s="3">
        <v>1</v>
      </c>
      <c r="F381" s="3" t="s">
        <v>20</v>
      </c>
      <c r="G381" s="3" t="s">
        <v>21</v>
      </c>
      <c r="H381" s="3" t="s">
        <v>22</v>
      </c>
      <c r="I381" s="2">
        <v>45973</v>
      </c>
      <c r="J381" s="7">
        <v>0.31944444444444442</v>
      </c>
      <c r="K381" s="12">
        <f>IFERROR(IF(FManutencao[[#This Row],[Hora Fim]]="","",(FManutencao[[#This Row],[Data Fim]]+FManutencao[[#This Row],[Hora Fim]])-(FManutencao[[#This Row],[Data Início]]+FManutencao[[#This Row],[Hora Início]])),"Data Fim errada")</f>
        <v>1.8750000002910383E-2</v>
      </c>
    </row>
    <row r="382" spans="2:11" hidden="1" x14ac:dyDescent="0.3">
      <c r="B382" s="2">
        <v>45973</v>
      </c>
      <c r="C382" s="7">
        <v>0.54374999999999996</v>
      </c>
      <c r="D382" s="3" t="s">
        <v>26</v>
      </c>
      <c r="E382" s="3">
        <v>1</v>
      </c>
      <c r="F382" s="3" t="s">
        <v>20</v>
      </c>
      <c r="G382" s="3" t="s">
        <v>29</v>
      </c>
      <c r="H382" s="3" t="s">
        <v>43</v>
      </c>
      <c r="I382" s="2">
        <v>45973</v>
      </c>
      <c r="J382" s="7">
        <v>0.54861111111111116</v>
      </c>
      <c r="K382" s="12">
        <f>IFERROR(IF(FManutencao[[#This Row],[Hora Fim]]="","",(FManutencao[[#This Row],[Data Fim]]+FManutencao[[#This Row],[Hora Fim]])-(FManutencao[[#This Row],[Data Início]]+FManutencao[[#This Row],[Hora Início]])),"Data Fim errada")</f>
        <v>4.8611111124046147E-3</v>
      </c>
    </row>
    <row r="383" spans="2:11" hidden="1" x14ac:dyDescent="0.3">
      <c r="B383" s="2">
        <v>45973</v>
      </c>
      <c r="C383" s="7">
        <v>0.5756944444444444</v>
      </c>
      <c r="D383" s="3" t="s">
        <v>26</v>
      </c>
      <c r="E383" s="3">
        <v>1</v>
      </c>
      <c r="F383" s="3" t="s">
        <v>20</v>
      </c>
      <c r="G383" s="3" t="s">
        <v>29</v>
      </c>
      <c r="H383" s="3" t="s">
        <v>43</v>
      </c>
      <c r="I383" s="2">
        <v>45973</v>
      </c>
      <c r="J383" s="7">
        <v>0.57708333333333328</v>
      </c>
      <c r="K383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384" spans="2:11" hidden="1" x14ac:dyDescent="0.3">
      <c r="B384" s="2">
        <v>45973</v>
      </c>
      <c r="C384" s="7">
        <v>0.60833333333333328</v>
      </c>
      <c r="D384" s="3" t="s">
        <v>26</v>
      </c>
      <c r="E384" s="3">
        <v>1</v>
      </c>
      <c r="F384" s="3" t="s">
        <v>20</v>
      </c>
      <c r="G384" s="3" t="s">
        <v>21</v>
      </c>
      <c r="H384" s="3" t="s">
        <v>23</v>
      </c>
      <c r="I384" s="2">
        <v>45973</v>
      </c>
      <c r="J384" s="7">
        <v>0.60972222222222228</v>
      </c>
      <c r="K384" s="12">
        <f>IFERROR(IF(FManutencao[[#This Row],[Hora Fim]]="","",(FManutencao[[#This Row],[Data Fim]]+FManutencao[[#This Row],[Hora Fim]])-(FManutencao[[#This Row],[Data Início]]+FManutencao[[#This Row],[Hora Início]])),"Data Fim errada")</f>
        <v>1.3888888934161514E-3</v>
      </c>
    </row>
    <row r="385" spans="2:11" hidden="1" x14ac:dyDescent="0.3">
      <c r="B385" s="2">
        <v>45973</v>
      </c>
      <c r="C385" s="7">
        <v>0.73124999999999996</v>
      </c>
      <c r="D385" s="3" t="s">
        <v>26</v>
      </c>
      <c r="E385" s="3">
        <v>1</v>
      </c>
      <c r="F385" s="3" t="s">
        <v>20</v>
      </c>
      <c r="G385" s="3" t="s">
        <v>21</v>
      </c>
      <c r="H385" s="3" t="s">
        <v>22</v>
      </c>
      <c r="I385" s="2">
        <v>45973</v>
      </c>
      <c r="J385" s="7">
        <v>0.7416666666666667</v>
      </c>
      <c r="K385" s="12">
        <f>IFERROR(IF(FManutencao[[#This Row],[Hora Fim]]="","",(FManutencao[[#This Row],[Data Fim]]+FManutencao[[#This Row],[Hora Fim]])-(FManutencao[[#This Row],[Data Início]]+FManutencao[[#This Row],[Hora Início]])),"Data Fim errada")</f>
        <v>1.0416666671517305E-2</v>
      </c>
    </row>
    <row r="386" spans="2:11" hidden="1" x14ac:dyDescent="0.3">
      <c r="B386" s="2">
        <v>45973</v>
      </c>
      <c r="C386" s="7">
        <v>0.78472222222222221</v>
      </c>
      <c r="D386" s="3" t="s">
        <v>26</v>
      </c>
      <c r="E386" s="3">
        <v>1</v>
      </c>
      <c r="F386" s="3" t="s">
        <v>20</v>
      </c>
      <c r="G386" s="3" t="s">
        <v>21</v>
      </c>
      <c r="H386" s="3" t="s">
        <v>50</v>
      </c>
      <c r="I386" s="2">
        <v>45973</v>
      </c>
      <c r="J386" s="7">
        <v>0.79166666666666663</v>
      </c>
      <c r="K386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387" spans="2:11" hidden="1" x14ac:dyDescent="0.3">
      <c r="B387" s="2">
        <v>45973</v>
      </c>
      <c r="C387" s="7">
        <v>0.30069444444444443</v>
      </c>
      <c r="D387" s="3" t="s">
        <v>27</v>
      </c>
      <c r="E387" s="3">
        <v>1</v>
      </c>
      <c r="F387" s="3" t="s">
        <v>20</v>
      </c>
      <c r="G387" s="3" t="s">
        <v>21</v>
      </c>
      <c r="H387" s="3" t="s">
        <v>22</v>
      </c>
      <c r="I387" s="2">
        <v>45973</v>
      </c>
      <c r="J387" s="7">
        <v>0.31944444444444442</v>
      </c>
      <c r="K387" s="12">
        <f>IFERROR(IF(FManutencao[[#This Row],[Hora Fim]]="","",(FManutencao[[#This Row],[Data Fim]]+FManutencao[[#This Row],[Hora Fim]])-(FManutencao[[#This Row],[Data Início]]+FManutencao[[#This Row],[Hora Início]])),"Data Fim errada")</f>
        <v>1.8750000002910383E-2</v>
      </c>
    </row>
    <row r="388" spans="2:11" hidden="1" x14ac:dyDescent="0.3">
      <c r="B388" s="2">
        <v>45973</v>
      </c>
      <c r="C388" s="7">
        <v>0.54374999999999996</v>
      </c>
      <c r="D388" s="3" t="s">
        <v>27</v>
      </c>
      <c r="E388" s="3">
        <v>1</v>
      </c>
      <c r="F388" s="3" t="s">
        <v>20</v>
      </c>
      <c r="G388" s="3" t="s">
        <v>21</v>
      </c>
      <c r="H388" s="3" t="s">
        <v>43</v>
      </c>
      <c r="I388" s="2">
        <v>45973</v>
      </c>
      <c r="J388" s="7">
        <v>0.54861111111111116</v>
      </c>
      <c r="K388" s="12">
        <f>IFERROR(IF(FManutencao[[#This Row],[Hora Fim]]="","",(FManutencao[[#This Row],[Data Fim]]+FManutencao[[#This Row],[Hora Fim]])-(FManutencao[[#This Row],[Data Início]]+FManutencao[[#This Row],[Hora Início]])),"Data Fim errada")</f>
        <v>4.8611111124046147E-3</v>
      </c>
    </row>
    <row r="389" spans="2:11" hidden="1" x14ac:dyDescent="0.3">
      <c r="B389" s="2">
        <v>45973</v>
      </c>
      <c r="C389" s="7">
        <v>0.5756944444444444</v>
      </c>
      <c r="D389" s="3" t="s">
        <v>27</v>
      </c>
      <c r="E389" s="3">
        <v>1</v>
      </c>
      <c r="F389" s="3" t="s">
        <v>20</v>
      </c>
      <c r="G389" s="3" t="s">
        <v>21</v>
      </c>
      <c r="H389" s="3" t="s">
        <v>43</v>
      </c>
      <c r="I389" s="2">
        <v>45973</v>
      </c>
      <c r="J389" s="7">
        <v>0.57708333333333328</v>
      </c>
      <c r="K389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390" spans="2:11" hidden="1" x14ac:dyDescent="0.3">
      <c r="B390" s="2">
        <v>45973</v>
      </c>
      <c r="C390" s="7">
        <v>0.60833333333333328</v>
      </c>
      <c r="D390" s="3" t="s">
        <v>27</v>
      </c>
      <c r="E390" s="3">
        <v>1</v>
      </c>
      <c r="F390" s="3" t="s">
        <v>20</v>
      </c>
      <c r="G390" s="3" t="s">
        <v>21</v>
      </c>
      <c r="H390" s="3" t="s">
        <v>23</v>
      </c>
      <c r="I390" s="2">
        <v>45973</v>
      </c>
      <c r="J390" s="7">
        <v>0.60972222222222228</v>
      </c>
      <c r="K390" s="12">
        <f>IFERROR(IF(FManutencao[[#This Row],[Hora Fim]]="","",(FManutencao[[#This Row],[Data Fim]]+FManutencao[[#This Row],[Hora Fim]])-(FManutencao[[#This Row],[Data Início]]+FManutencao[[#This Row],[Hora Início]])),"Data Fim errada")</f>
        <v>1.3888888934161514E-3</v>
      </c>
    </row>
    <row r="391" spans="2:11" hidden="1" x14ac:dyDescent="0.3">
      <c r="B391" s="2">
        <v>45973</v>
      </c>
      <c r="C391" s="7">
        <v>0.73124999999999996</v>
      </c>
      <c r="D391" s="3" t="s">
        <v>27</v>
      </c>
      <c r="E391" s="3">
        <v>1</v>
      </c>
      <c r="F391" s="3" t="s">
        <v>20</v>
      </c>
      <c r="G391" s="3" t="s">
        <v>21</v>
      </c>
      <c r="H391" s="3" t="s">
        <v>22</v>
      </c>
      <c r="I391" s="2">
        <v>45973</v>
      </c>
      <c r="J391" s="7">
        <v>0.7416666666666667</v>
      </c>
      <c r="K391" s="12">
        <f>IFERROR(IF(FManutencao[[#This Row],[Hora Fim]]="","",(FManutencao[[#This Row],[Data Fim]]+FManutencao[[#This Row],[Hora Fim]])-(FManutencao[[#This Row],[Data Início]]+FManutencao[[#This Row],[Hora Início]])),"Data Fim errada")</f>
        <v>1.0416666671517305E-2</v>
      </c>
    </row>
    <row r="392" spans="2:11" hidden="1" x14ac:dyDescent="0.3">
      <c r="B392" s="2">
        <v>45973</v>
      </c>
      <c r="C392" s="7">
        <v>0.78472222222222221</v>
      </c>
      <c r="D392" s="3" t="s">
        <v>27</v>
      </c>
      <c r="E392" s="3">
        <v>1</v>
      </c>
      <c r="F392" s="3" t="s">
        <v>20</v>
      </c>
      <c r="G392" s="3" t="s">
        <v>29</v>
      </c>
      <c r="H392" s="3" t="s">
        <v>50</v>
      </c>
      <c r="I392" s="2">
        <v>45973</v>
      </c>
      <c r="J392" s="7">
        <v>0.79166666666666663</v>
      </c>
      <c r="K392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393" spans="2:11" hidden="1" x14ac:dyDescent="0.3">
      <c r="B393" s="2">
        <v>45973</v>
      </c>
      <c r="C393" s="7">
        <v>0.30069444444444443</v>
      </c>
      <c r="D393" s="3" t="s">
        <v>28</v>
      </c>
      <c r="E393" s="3">
        <v>1</v>
      </c>
      <c r="F393" s="3" t="s">
        <v>20</v>
      </c>
      <c r="G393" s="3" t="s">
        <v>21</v>
      </c>
      <c r="H393" s="3" t="s">
        <v>22</v>
      </c>
      <c r="I393" s="2">
        <v>45973</v>
      </c>
      <c r="J393" s="7">
        <v>0.31944444444444442</v>
      </c>
      <c r="K393" s="12">
        <f>IFERROR(IF(FManutencao[[#This Row],[Hora Fim]]="","",(FManutencao[[#This Row],[Data Fim]]+FManutencao[[#This Row],[Hora Fim]])-(FManutencao[[#This Row],[Data Início]]+FManutencao[[#This Row],[Hora Início]])),"Data Fim errada")</f>
        <v>1.8750000002910383E-2</v>
      </c>
    </row>
    <row r="394" spans="2:11" hidden="1" x14ac:dyDescent="0.3">
      <c r="B394" s="2">
        <v>45973</v>
      </c>
      <c r="C394" s="7">
        <v>0.54374999999999996</v>
      </c>
      <c r="D394" s="3" t="s">
        <v>28</v>
      </c>
      <c r="E394" s="3">
        <v>1</v>
      </c>
      <c r="F394" s="3" t="s">
        <v>20</v>
      </c>
      <c r="G394" s="3" t="s">
        <v>21</v>
      </c>
      <c r="H394" s="3" t="s">
        <v>43</v>
      </c>
      <c r="I394" s="2">
        <v>45973</v>
      </c>
      <c r="J394" s="7">
        <v>0.54861111111111116</v>
      </c>
      <c r="K394" s="12">
        <f>IFERROR(IF(FManutencao[[#This Row],[Hora Fim]]="","",(FManutencao[[#This Row],[Data Fim]]+FManutencao[[#This Row],[Hora Fim]])-(FManutencao[[#This Row],[Data Início]]+FManutencao[[#This Row],[Hora Início]])),"Data Fim errada")</f>
        <v>4.8611111124046147E-3</v>
      </c>
    </row>
    <row r="395" spans="2:11" hidden="1" x14ac:dyDescent="0.3">
      <c r="B395" s="2">
        <v>45973</v>
      </c>
      <c r="C395" s="7">
        <v>0.5756944444444444</v>
      </c>
      <c r="D395" s="3" t="s">
        <v>28</v>
      </c>
      <c r="E395" s="3">
        <v>1</v>
      </c>
      <c r="F395" s="3" t="s">
        <v>20</v>
      </c>
      <c r="G395" s="3" t="s">
        <v>21</v>
      </c>
      <c r="H395" s="3" t="s">
        <v>43</v>
      </c>
      <c r="I395" s="2">
        <v>45973</v>
      </c>
      <c r="J395" s="7">
        <v>0.57708333333333328</v>
      </c>
      <c r="K395" s="12">
        <f>IFERROR(IF(FManutencao[[#This Row],[Hora Fim]]="","",(FManutencao[[#This Row],[Data Fim]]+FManutencao[[#This Row],[Hora Fim]])-(FManutencao[[#This Row],[Data Início]]+FManutencao[[#This Row],[Hora Início]])),"Data Fim errada")</f>
        <v>1.3888888861401938E-3</v>
      </c>
    </row>
    <row r="396" spans="2:11" hidden="1" x14ac:dyDescent="0.3">
      <c r="B396" s="2">
        <v>45973</v>
      </c>
      <c r="C396" s="7">
        <v>0.60833333333333328</v>
      </c>
      <c r="D396" s="3" t="s">
        <v>28</v>
      </c>
      <c r="E396" s="3">
        <v>1</v>
      </c>
      <c r="F396" s="3" t="s">
        <v>20</v>
      </c>
      <c r="G396" s="3" t="s">
        <v>29</v>
      </c>
      <c r="H396" s="3" t="s">
        <v>23</v>
      </c>
      <c r="I396" s="2">
        <v>45973</v>
      </c>
      <c r="J396" s="7">
        <v>0.60972222222222228</v>
      </c>
      <c r="K396" s="12">
        <f>IFERROR(IF(FManutencao[[#This Row],[Hora Fim]]="","",(FManutencao[[#This Row],[Data Fim]]+FManutencao[[#This Row],[Hora Fim]])-(FManutencao[[#This Row],[Data Início]]+FManutencao[[#This Row],[Hora Início]])),"Data Fim errada")</f>
        <v>1.3888888934161514E-3</v>
      </c>
    </row>
    <row r="397" spans="2:11" hidden="1" x14ac:dyDescent="0.3">
      <c r="B397" s="2">
        <v>45973</v>
      </c>
      <c r="C397" s="7">
        <v>0.73124999999999996</v>
      </c>
      <c r="D397" s="3" t="s">
        <v>28</v>
      </c>
      <c r="E397" s="3">
        <v>1</v>
      </c>
      <c r="F397" s="3" t="s">
        <v>20</v>
      </c>
      <c r="G397" s="3" t="s">
        <v>21</v>
      </c>
      <c r="H397" s="3" t="s">
        <v>22</v>
      </c>
      <c r="I397" s="2">
        <v>45973</v>
      </c>
      <c r="J397" s="7">
        <v>0.7416666666666667</v>
      </c>
      <c r="K397" s="12">
        <f>IFERROR(IF(FManutencao[[#This Row],[Hora Fim]]="","",(FManutencao[[#This Row],[Data Fim]]+FManutencao[[#This Row],[Hora Fim]])-(FManutencao[[#This Row],[Data Início]]+FManutencao[[#This Row],[Hora Início]])),"Data Fim errada")</f>
        <v>1.0416666671517305E-2</v>
      </c>
    </row>
    <row r="398" spans="2:11" hidden="1" x14ac:dyDescent="0.3">
      <c r="B398" s="2">
        <v>45973</v>
      </c>
      <c r="C398" s="7">
        <v>0.78472222222222221</v>
      </c>
      <c r="D398" s="3" t="s">
        <v>28</v>
      </c>
      <c r="E398" s="3">
        <v>1</v>
      </c>
      <c r="F398" s="3" t="s">
        <v>20</v>
      </c>
      <c r="G398" s="3" t="s">
        <v>21</v>
      </c>
      <c r="H398" s="3" t="s">
        <v>50</v>
      </c>
      <c r="I398" s="2">
        <v>45973</v>
      </c>
      <c r="J398" s="7">
        <v>0.79166666666666663</v>
      </c>
      <c r="K398" s="12">
        <f>IFERROR(IF(FManutencao[[#This Row],[Hora Fim]]="","",(FManutencao[[#This Row],[Data Fim]]+FManutencao[[#This Row],[Hora Fim]])-(FManutencao[[#This Row],[Data Início]]+FManutencao[[#This Row],[Hora Início]])),"Data Fim errada")</f>
        <v>6.9444444452528842E-3</v>
      </c>
    </row>
    <row r="399" spans="2:11" hidden="1" x14ac:dyDescent="0.3">
      <c r="B399" s="2">
        <v>45973</v>
      </c>
      <c r="C399" s="7">
        <v>0.79166666666666663</v>
      </c>
      <c r="D399" s="3" t="s">
        <v>19</v>
      </c>
      <c r="E399" s="3">
        <v>2</v>
      </c>
      <c r="F399" s="3" t="s">
        <v>20</v>
      </c>
      <c r="G399" s="3" t="s">
        <v>21</v>
      </c>
      <c r="H399" s="3" t="s">
        <v>37</v>
      </c>
      <c r="I399" s="2">
        <v>45973</v>
      </c>
      <c r="J399" s="7">
        <v>0.87638888888888888</v>
      </c>
      <c r="K399" s="12">
        <f>IFERROR(IF(FManutencao[[#This Row],[Hora Fim]]="","",(FManutencao[[#This Row],[Data Fim]]+FManutencao[[#This Row],[Hora Fim]])-(FManutencao[[#This Row],[Data Início]]+FManutencao[[#This Row],[Hora Início]])),"Data Fim errada")</f>
        <v>8.4722222221898846E-2</v>
      </c>
    </row>
    <row r="400" spans="2:11" hidden="1" x14ac:dyDescent="0.3">
      <c r="B400" s="2">
        <v>45973</v>
      </c>
      <c r="C400" s="7">
        <v>0.90416666666666667</v>
      </c>
      <c r="D400" s="3" t="s">
        <v>19</v>
      </c>
      <c r="E400" s="3">
        <v>2</v>
      </c>
      <c r="F400" s="3" t="s">
        <v>20</v>
      </c>
      <c r="G400" s="3" t="s">
        <v>21</v>
      </c>
      <c r="H400" s="3" t="s">
        <v>37</v>
      </c>
      <c r="I400" s="2">
        <v>45973</v>
      </c>
      <c r="J400" s="7">
        <v>0.92361111111111116</v>
      </c>
      <c r="K400" s="12">
        <f>IFERROR(IF(FManutencao[[#This Row],[Hora Fim]]="","",(FManutencao[[#This Row],[Data Fim]]+FManutencao[[#This Row],[Hora Fim]])-(FManutencao[[#This Row],[Data Início]]+FManutencao[[#This Row],[Hora Início]])),"Data Fim errada")</f>
        <v>1.9444444442342501E-2</v>
      </c>
    </row>
    <row r="401" spans="2:11" hidden="1" x14ac:dyDescent="0.3">
      <c r="B401" s="2">
        <v>45973</v>
      </c>
      <c r="C401" s="7">
        <v>6.1111111111111109E-2</v>
      </c>
      <c r="D401" s="3" t="s">
        <v>19</v>
      </c>
      <c r="E401" s="3">
        <v>2</v>
      </c>
      <c r="F401" s="3" t="s">
        <v>24</v>
      </c>
      <c r="G401" s="3" t="s">
        <v>21</v>
      </c>
      <c r="H401" s="3" t="s">
        <v>59</v>
      </c>
      <c r="I401" s="2">
        <v>45973</v>
      </c>
      <c r="J401" s="7">
        <v>6.458333333333334E-2</v>
      </c>
      <c r="K401" s="12">
        <f>IFERROR(IF(FManutencao[[#This Row],[Hora Fim]]="","",(FManutencao[[#This Row],[Data Fim]]+FManutencao[[#This Row],[Hora Fim]])-(FManutencao[[#This Row],[Data Início]]+FManutencao[[#This Row],[Hora Início]])),"Data Fim errada")</f>
        <v>3.4722222189884633E-3</v>
      </c>
    </row>
    <row r="402" spans="2:11" hidden="1" x14ac:dyDescent="0.3">
      <c r="B402" s="2">
        <v>45973</v>
      </c>
      <c r="C402" s="7">
        <v>6.5972222222222224E-2</v>
      </c>
      <c r="D402" s="3" t="s">
        <v>19</v>
      </c>
      <c r="E402" s="3">
        <v>2</v>
      </c>
      <c r="F402" s="3" t="s">
        <v>20</v>
      </c>
      <c r="G402" s="3" t="s">
        <v>21</v>
      </c>
      <c r="H402" s="3" t="s">
        <v>60</v>
      </c>
      <c r="I402" s="2">
        <v>45973</v>
      </c>
      <c r="J402" s="7">
        <v>7.4305555555555555E-2</v>
      </c>
      <c r="K402" s="12">
        <f>IFERROR(IF(FManutencao[[#This Row],[Hora Fim]]="","",(FManutencao[[#This Row],[Data Fim]]+FManutencao[[#This Row],[Hora Fim]])-(FManutencao[[#This Row],[Data Início]]+FManutencao[[#This Row],[Hora Início]])),"Data Fim errada")</f>
        <v>8.3333333386690356E-3</v>
      </c>
    </row>
    <row r="403" spans="2:11" hidden="1" x14ac:dyDescent="0.3">
      <c r="B403" s="2">
        <v>45973</v>
      </c>
      <c r="C403" s="7">
        <v>9.0277777777777776E-2</v>
      </c>
      <c r="D403" s="3" t="s">
        <v>19</v>
      </c>
      <c r="E403" s="3">
        <v>2</v>
      </c>
      <c r="F403" s="3" t="s">
        <v>20</v>
      </c>
      <c r="G403" s="3" t="s">
        <v>21</v>
      </c>
      <c r="H403" s="3" t="s">
        <v>60</v>
      </c>
      <c r="I403" s="2">
        <v>45973</v>
      </c>
      <c r="J403" s="7">
        <v>9.4444444444444442E-2</v>
      </c>
      <c r="K403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404" spans="2:11" hidden="1" x14ac:dyDescent="0.3">
      <c r="B404" s="2">
        <v>45973</v>
      </c>
      <c r="C404" s="7">
        <v>0.14027777777777778</v>
      </c>
      <c r="D404" s="3" t="s">
        <v>19</v>
      </c>
      <c r="E404" s="3">
        <v>2</v>
      </c>
      <c r="F404" s="3" t="s">
        <v>20</v>
      </c>
      <c r="G404" s="3" t="s">
        <v>21</v>
      </c>
      <c r="H404" s="3" t="s">
        <v>36</v>
      </c>
      <c r="I404" s="2">
        <v>45973</v>
      </c>
      <c r="J404" s="7">
        <v>0.14305555555555555</v>
      </c>
      <c r="K404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405" spans="2:11" hidden="1" x14ac:dyDescent="0.3">
      <c r="B405" s="2">
        <v>45973</v>
      </c>
      <c r="C405" s="7">
        <v>0.24583333333333332</v>
      </c>
      <c r="D405" s="3" t="s">
        <v>19</v>
      </c>
      <c r="E405" s="3">
        <v>2</v>
      </c>
      <c r="F405" s="3" t="s">
        <v>20</v>
      </c>
      <c r="G405" s="3" t="s">
        <v>21</v>
      </c>
      <c r="H405" s="3" t="s">
        <v>49</v>
      </c>
      <c r="I405" s="2">
        <v>45973</v>
      </c>
      <c r="J405" s="7">
        <v>0.24791666666666667</v>
      </c>
      <c r="K405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406" spans="2:11" hidden="1" x14ac:dyDescent="0.3">
      <c r="B406" s="2">
        <v>45973</v>
      </c>
      <c r="C406" s="7">
        <v>0.79166666666666663</v>
      </c>
      <c r="D406" s="3" t="s">
        <v>26</v>
      </c>
      <c r="E406" s="3">
        <v>2</v>
      </c>
      <c r="F406" s="3" t="s">
        <v>20</v>
      </c>
      <c r="G406" s="3" t="s">
        <v>21</v>
      </c>
      <c r="H406" s="3" t="s">
        <v>37</v>
      </c>
      <c r="I406" s="2">
        <v>45973</v>
      </c>
      <c r="J406" s="7">
        <v>0.87638888888888888</v>
      </c>
      <c r="K406" s="12">
        <f>IFERROR(IF(FManutencao[[#This Row],[Hora Fim]]="","",(FManutencao[[#This Row],[Data Fim]]+FManutencao[[#This Row],[Hora Fim]])-(FManutencao[[#This Row],[Data Início]]+FManutencao[[#This Row],[Hora Início]])),"Data Fim errada")</f>
        <v>8.4722222221898846E-2</v>
      </c>
    </row>
    <row r="407" spans="2:11" hidden="1" x14ac:dyDescent="0.3">
      <c r="B407" s="2">
        <v>45973</v>
      </c>
      <c r="C407" s="7">
        <v>0.90416666666666667</v>
      </c>
      <c r="D407" s="3" t="s">
        <v>26</v>
      </c>
      <c r="E407" s="3">
        <v>2</v>
      </c>
      <c r="F407" s="3" t="s">
        <v>20</v>
      </c>
      <c r="G407" s="3" t="s">
        <v>21</v>
      </c>
      <c r="H407" s="3" t="s">
        <v>37</v>
      </c>
      <c r="I407" s="2">
        <v>45973</v>
      </c>
      <c r="J407" s="7">
        <v>0.92361111111111116</v>
      </c>
      <c r="K407" s="12">
        <f>IFERROR(IF(FManutencao[[#This Row],[Hora Fim]]="","",(FManutencao[[#This Row],[Data Fim]]+FManutencao[[#This Row],[Hora Fim]])-(FManutencao[[#This Row],[Data Início]]+FManutencao[[#This Row],[Hora Início]])),"Data Fim errada")</f>
        <v>1.9444444442342501E-2</v>
      </c>
    </row>
    <row r="408" spans="2:11" hidden="1" x14ac:dyDescent="0.3">
      <c r="B408" s="2">
        <v>45973</v>
      </c>
      <c r="C408" s="7">
        <v>6.1111111111111109E-2</v>
      </c>
      <c r="D408" s="3" t="s">
        <v>26</v>
      </c>
      <c r="E408" s="3">
        <v>2</v>
      </c>
      <c r="F408" s="3" t="s">
        <v>24</v>
      </c>
      <c r="G408" s="3" t="s">
        <v>21</v>
      </c>
      <c r="H408" s="3" t="s">
        <v>59</v>
      </c>
      <c r="I408" s="2">
        <v>45973</v>
      </c>
      <c r="J408" s="7">
        <v>6.458333333333334E-2</v>
      </c>
      <c r="K408" s="12">
        <f>IFERROR(IF(FManutencao[[#This Row],[Hora Fim]]="","",(FManutencao[[#This Row],[Data Fim]]+FManutencao[[#This Row],[Hora Fim]])-(FManutencao[[#This Row],[Data Início]]+FManutencao[[#This Row],[Hora Início]])),"Data Fim errada")</f>
        <v>3.4722222189884633E-3</v>
      </c>
    </row>
    <row r="409" spans="2:11" hidden="1" x14ac:dyDescent="0.3">
      <c r="B409" s="2">
        <v>45973</v>
      </c>
      <c r="C409" s="7">
        <v>6.5972222222222224E-2</v>
      </c>
      <c r="D409" s="3" t="s">
        <v>26</v>
      </c>
      <c r="E409" s="3">
        <v>2</v>
      </c>
      <c r="F409" s="3" t="s">
        <v>20</v>
      </c>
      <c r="G409" s="3" t="s">
        <v>21</v>
      </c>
      <c r="H409" s="3" t="s">
        <v>60</v>
      </c>
      <c r="I409" s="2">
        <v>45973</v>
      </c>
      <c r="J409" s="7">
        <v>7.4305555555555555E-2</v>
      </c>
      <c r="K409" s="12">
        <f>IFERROR(IF(FManutencao[[#This Row],[Hora Fim]]="","",(FManutencao[[#This Row],[Data Fim]]+FManutencao[[#This Row],[Hora Fim]])-(FManutencao[[#This Row],[Data Início]]+FManutencao[[#This Row],[Hora Início]])),"Data Fim errada")</f>
        <v>8.3333333386690356E-3</v>
      </c>
    </row>
    <row r="410" spans="2:11" hidden="1" x14ac:dyDescent="0.3">
      <c r="B410" s="2">
        <v>45973</v>
      </c>
      <c r="C410" s="7">
        <v>9.0277777777777776E-2</v>
      </c>
      <c r="D410" s="3" t="s">
        <v>26</v>
      </c>
      <c r="E410" s="3">
        <v>2</v>
      </c>
      <c r="F410" s="3" t="s">
        <v>20</v>
      </c>
      <c r="G410" s="3" t="s">
        <v>21</v>
      </c>
      <c r="H410" s="3" t="s">
        <v>60</v>
      </c>
      <c r="I410" s="2">
        <v>45973</v>
      </c>
      <c r="J410" s="7">
        <v>9.4444444444444442E-2</v>
      </c>
      <c r="K410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411" spans="2:11" hidden="1" x14ac:dyDescent="0.3">
      <c r="B411" s="2">
        <v>45973</v>
      </c>
      <c r="C411" s="7">
        <v>0.14027777777777778</v>
      </c>
      <c r="D411" s="3" t="s">
        <v>26</v>
      </c>
      <c r="E411" s="3">
        <v>2</v>
      </c>
      <c r="F411" s="3" t="s">
        <v>20</v>
      </c>
      <c r="G411" s="3" t="s">
        <v>21</v>
      </c>
      <c r="H411" s="3" t="s">
        <v>36</v>
      </c>
      <c r="I411" s="2">
        <v>45973</v>
      </c>
      <c r="J411" s="7">
        <v>0.14305555555555555</v>
      </c>
      <c r="K411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412" spans="2:11" hidden="1" x14ac:dyDescent="0.3">
      <c r="B412" s="2">
        <v>45973</v>
      </c>
      <c r="C412" s="7">
        <v>0.24583333333333332</v>
      </c>
      <c r="D412" s="3" t="s">
        <v>26</v>
      </c>
      <c r="E412" s="3">
        <v>2</v>
      </c>
      <c r="F412" s="3" t="s">
        <v>20</v>
      </c>
      <c r="G412" s="3" t="s">
        <v>21</v>
      </c>
      <c r="H412" s="3" t="s">
        <v>49</v>
      </c>
      <c r="I412" s="2">
        <v>45973</v>
      </c>
      <c r="J412" s="7">
        <v>0.24791666666666667</v>
      </c>
      <c r="K412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413" spans="2:11" hidden="1" x14ac:dyDescent="0.3">
      <c r="B413" s="2">
        <v>45973</v>
      </c>
      <c r="C413" s="7">
        <v>0.79166666666666663</v>
      </c>
      <c r="D413" s="3" t="s">
        <v>27</v>
      </c>
      <c r="E413" s="3">
        <v>2</v>
      </c>
      <c r="F413" s="3" t="s">
        <v>20</v>
      </c>
      <c r="G413" s="3" t="s">
        <v>29</v>
      </c>
      <c r="H413" s="3" t="s">
        <v>37</v>
      </c>
      <c r="I413" s="2">
        <v>45973</v>
      </c>
      <c r="J413" s="7">
        <v>0.87638888888888888</v>
      </c>
      <c r="K413" s="12">
        <f>IFERROR(IF(FManutencao[[#This Row],[Hora Fim]]="","",(FManutencao[[#This Row],[Data Fim]]+FManutencao[[#This Row],[Hora Fim]])-(FManutencao[[#This Row],[Data Início]]+FManutencao[[#This Row],[Hora Início]])),"Data Fim errada")</f>
        <v>8.4722222221898846E-2</v>
      </c>
    </row>
    <row r="414" spans="2:11" hidden="1" x14ac:dyDescent="0.3">
      <c r="B414" s="2">
        <v>45973</v>
      </c>
      <c r="C414" s="7">
        <v>0.90416666666666667</v>
      </c>
      <c r="D414" s="3" t="s">
        <v>27</v>
      </c>
      <c r="E414" s="3">
        <v>2</v>
      </c>
      <c r="F414" s="3" t="s">
        <v>20</v>
      </c>
      <c r="G414" s="3" t="s">
        <v>29</v>
      </c>
      <c r="H414" s="3" t="s">
        <v>37</v>
      </c>
      <c r="I414" s="2">
        <v>45973</v>
      </c>
      <c r="J414" s="7">
        <v>0.92361111111111116</v>
      </c>
      <c r="K414" s="12">
        <f>IFERROR(IF(FManutencao[[#This Row],[Hora Fim]]="","",(FManutencao[[#This Row],[Data Fim]]+FManutencao[[#This Row],[Hora Fim]])-(FManutencao[[#This Row],[Data Início]]+FManutencao[[#This Row],[Hora Início]])),"Data Fim errada")</f>
        <v>1.9444444442342501E-2</v>
      </c>
    </row>
    <row r="415" spans="2:11" hidden="1" x14ac:dyDescent="0.3">
      <c r="B415" s="2">
        <v>45973</v>
      </c>
      <c r="C415" s="7">
        <v>6.1111111111111109E-2</v>
      </c>
      <c r="D415" s="3" t="s">
        <v>27</v>
      </c>
      <c r="E415" s="3">
        <v>2</v>
      </c>
      <c r="F415" s="3" t="s">
        <v>24</v>
      </c>
      <c r="G415" s="3" t="s">
        <v>29</v>
      </c>
      <c r="H415" s="3" t="s">
        <v>59</v>
      </c>
      <c r="I415" s="2">
        <v>45973</v>
      </c>
      <c r="J415" s="7">
        <v>6.458333333333334E-2</v>
      </c>
      <c r="K415" s="12">
        <f>IFERROR(IF(FManutencao[[#This Row],[Hora Fim]]="","",(FManutencao[[#This Row],[Data Fim]]+FManutencao[[#This Row],[Hora Fim]])-(FManutencao[[#This Row],[Data Início]]+FManutencao[[#This Row],[Hora Início]])),"Data Fim errada")</f>
        <v>3.4722222189884633E-3</v>
      </c>
    </row>
    <row r="416" spans="2:11" hidden="1" x14ac:dyDescent="0.3">
      <c r="B416" s="2">
        <v>45973</v>
      </c>
      <c r="C416" s="7">
        <v>6.5972222222222224E-2</v>
      </c>
      <c r="D416" s="3" t="s">
        <v>27</v>
      </c>
      <c r="E416" s="3">
        <v>2</v>
      </c>
      <c r="F416" s="3" t="s">
        <v>20</v>
      </c>
      <c r="G416" s="3" t="s">
        <v>29</v>
      </c>
      <c r="H416" s="3" t="s">
        <v>60</v>
      </c>
      <c r="I416" s="2">
        <v>45973</v>
      </c>
      <c r="J416" s="7">
        <v>7.4305555555555555E-2</v>
      </c>
      <c r="K416" s="12">
        <f>IFERROR(IF(FManutencao[[#This Row],[Hora Fim]]="","",(FManutencao[[#This Row],[Data Fim]]+FManutencao[[#This Row],[Hora Fim]])-(FManutencao[[#This Row],[Data Início]]+FManutencao[[#This Row],[Hora Início]])),"Data Fim errada")</f>
        <v>8.3333333386690356E-3</v>
      </c>
    </row>
    <row r="417" spans="2:11" hidden="1" x14ac:dyDescent="0.3">
      <c r="B417" s="2">
        <v>45973</v>
      </c>
      <c r="C417" s="7">
        <v>9.0277777777777776E-2</v>
      </c>
      <c r="D417" s="3" t="s">
        <v>27</v>
      </c>
      <c r="E417" s="3">
        <v>2</v>
      </c>
      <c r="F417" s="3" t="s">
        <v>20</v>
      </c>
      <c r="G417" s="3" t="s">
        <v>29</v>
      </c>
      <c r="H417" s="3" t="s">
        <v>60</v>
      </c>
      <c r="I417" s="2">
        <v>45973</v>
      </c>
      <c r="J417" s="7">
        <v>9.4444444444444442E-2</v>
      </c>
      <c r="K417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418" spans="2:11" hidden="1" x14ac:dyDescent="0.3">
      <c r="B418" s="2">
        <v>45973</v>
      </c>
      <c r="C418" s="7">
        <v>0.14027777777777778</v>
      </c>
      <c r="D418" s="3" t="s">
        <v>27</v>
      </c>
      <c r="E418" s="3">
        <v>2</v>
      </c>
      <c r="F418" s="3" t="s">
        <v>20</v>
      </c>
      <c r="G418" s="3" t="s">
        <v>21</v>
      </c>
      <c r="H418" s="3" t="s">
        <v>36</v>
      </c>
      <c r="I418" s="2">
        <v>45973</v>
      </c>
      <c r="J418" s="7">
        <v>0.14305555555555555</v>
      </c>
      <c r="K418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419" spans="2:11" hidden="1" x14ac:dyDescent="0.3">
      <c r="B419" s="2">
        <v>45973</v>
      </c>
      <c r="C419" s="7">
        <v>0.24583333333333332</v>
      </c>
      <c r="D419" s="3" t="s">
        <v>27</v>
      </c>
      <c r="E419" s="3">
        <v>2</v>
      </c>
      <c r="F419" s="3" t="s">
        <v>20</v>
      </c>
      <c r="G419" s="3" t="s">
        <v>21</v>
      </c>
      <c r="H419" s="3" t="s">
        <v>49</v>
      </c>
      <c r="I419" s="2">
        <v>45973</v>
      </c>
      <c r="J419" s="7">
        <v>0.24791666666666667</v>
      </c>
      <c r="K419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420" spans="2:11" hidden="1" x14ac:dyDescent="0.3">
      <c r="B420" s="2">
        <v>45973</v>
      </c>
      <c r="C420" s="7">
        <v>0.79166666666666663</v>
      </c>
      <c r="D420" s="3" t="s">
        <v>28</v>
      </c>
      <c r="E420" s="3">
        <v>2</v>
      </c>
      <c r="F420" s="3" t="s">
        <v>20</v>
      </c>
      <c r="G420" s="3" t="s">
        <v>21</v>
      </c>
      <c r="H420" s="3" t="s">
        <v>37</v>
      </c>
      <c r="I420" s="2">
        <v>45973</v>
      </c>
      <c r="J420" s="7">
        <v>0.87638888888888888</v>
      </c>
      <c r="K420" s="12">
        <f>IFERROR(IF(FManutencao[[#This Row],[Hora Fim]]="","",(FManutencao[[#This Row],[Data Fim]]+FManutencao[[#This Row],[Hora Fim]])-(FManutencao[[#This Row],[Data Início]]+FManutencao[[#This Row],[Hora Início]])),"Data Fim errada")</f>
        <v>8.4722222221898846E-2</v>
      </c>
    </row>
    <row r="421" spans="2:11" hidden="1" x14ac:dyDescent="0.3">
      <c r="B421" s="2">
        <v>45973</v>
      </c>
      <c r="C421" s="7">
        <v>0.90416666666666667</v>
      </c>
      <c r="D421" s="3" t="s">
        <v>28</v>
      </c>
      <c r="E421" s="3">
        <v>2</v>
      </c>
      <c r="F421" s="3" t="s">
        <v>20</v>
      </c>
      <c r="G421" s="3" t="s">
        <v>21</v>
      </c>
      <c r="H421" s="3" t="s">
        <v>37</v>
      </c>
      <c r="I421" s="2">
        <v>45973</v>
      </c>
      <c r="J421" s="7">
        <v>0.92361111111111116</v>
      </c>
      <c r="K421" s="12">
        <f>IFERROR(IF(FManutencao[[#This Row],[Hora Fim]]="","",(FManutencao[[#This Row],[Data Fim]]+FManutencao[[#This Row],[Hora Fim]])-(FManutencao[[#This Row],[Data Início]]+FManutencao[[#This Row],[Hora Início]])),"Data Fim errada")</f>
        <v>1.9444444442342501E-2</v>
      </c>
    </row>
    <row r="422" spans="2:11" hidden="1" x14ac:dyDescent="0.3">
      <c r="B422" s="2">
        <v>45973</v>
      </c>
      <c r="C422" s="7">
        <v>6.1111111111111109E-2</v>
      </c>
      <c r="D422" s="3" t="s">
        <v>28</v>
      </c>
      <c r="E422" s="3">
        <v>2</v>
      </c>
      <c r="F422" s="3" t="s">
        <v>24</v>
      </c>
      <c r="G422" s="3" t="s">
        <v>21</v>
      </c>
      <c r="H422" s="3" t="s">
        <v>59</v>
      </c>
      <c r="I422" s="2">
        <v>45973</v>
      </c>
      <c r="J422" s="7">
        <v>6.458333333333334E-2</v>
      </c>
      <c r="K422" s="12">
        <f>IFERROR(IF(FManutencao[[#This Row],[Hora Fim]]="","",(FManutencao[[#This Row],[Data Fim]]+FManutencao[[#This Row],[Hora Fim]])-(FManutencao[[#This Row],[Data Início]]+FManutencao[[#This Row],[Hora Início]])),"Data Fim errada")</f>
        <v>3.4722222189884633E-3</v>
      </c>
    </row>
    <row r="423" spans="2:11" hidden="1" x14ac:dyDescent="0.3">
      <c r="B423" s="2">
        <v>45973</v>
      </c>
      <c r="C423" s="7">
        <v>6.5972222222222224E-2</v>
      </c>
      <c r="D423" s="3" t="s">
        <v>28</v>
      </c>
      <c r="E423" s="3">
        <v>2</v>
      </c>
      <c r="F423" s="3" t="s">
        <v>20</v>
      </c>
      <c r="G423" s="3" t="s">
        <v>21</v>
      </c>
      <c r="H423" s="3" t="s">
        <v>60</v>
      </c>
      <c r="I423" s="2">
        <v>45973</v>
      </c>
      <c r="J423" s="7">
        <v>7.4305555555555555E-2</v>
      </c>
      <c r="K423" s="12">
        <f>IFERROR(IF(FManutencao[[#This Row],[Hora Fim]]="","",(FManutencao[[#This Row],[Data Fim]]+FManutencao[[#This Row],[Hora Fim]])-(FManutencao[[#This Row],[Data Início]]+FManutencao[[#This Row],[Hora Início]])),"Data Fim errada")</f>
        <v>8.3333333386690356E-3</v>
      </c>
    </row>
    <row r="424" spans="2:11" hidden="1" x14ac:dyDescent="0.3">
      <c r="B424" s="2">
        <v>45973</v>
      </c>
      <c r="C424" s="7">
        <v>9.0277777777777776E-2</v>
      </c>
      <c r="D424" s="3" t="s">
        <v>28</v>
      </c>
      <c r="E424" s="3">
        <v>2</v>
      </c>
      <c r="F424" s="3" t="s">
        <v>20</v>
      </c>
      <c r="G424" s="3" t="s">
        <v>21</v>
      </c>
      <c r="H424" s="3" t="s">
        <v>60</v>
      </c>
      <c r="I424" s="2">
        <v>45973</v>
      </c>
      <c r="J424" s="7">
        <v>9.4444444444444442E-2</v>
      </c>
      <c r="K424" s="12">
        <f>IFERROR(IF(FManutencao[[#This Row],[Hora Fim]]="","",(FManutencao[[#This Row],[Data Fim]]+FManutencao[[#This Row],[Hora Fim]])-(FManutencao[[#This Row],[Data Início]]+FManutencao[[#This Row],[Hora Início]])),"Data Fim errada")</f>
        <v>4.166666665696539E-3</v>
      </c>
    </row>
    <row r="425" spans="2:11" hidden="1" x14ac:dyDescent="0.3">
      <c r="B425" s="2">
        <v>45973</v>
      </c>
      <c r="C425" s="7">
        <v>0.14027777777777778</v>
      </c>
      <c r="D425" s="3" t="s">
        <v>28</v>
      </c>
      <c r="E425" s="3">
        <v>2</v>
      </c>
      <c r="F425" s="3" t="s">
        <v>20</v>
      </c>
      <c r="G425" s="3" t="s">
        <v>21</v>
      </c>
      <c r="H425" s="3" t="s">
        <v>36</v>
      </c>
      <c r="I425" s="2">
        <v>45973</v>
      </c>
      <c r="J425" s="7">
        <v>0.14305555555555555</v>
      </c>
      <c r="K425" s="12">
        <f>IFERROR(IF(FManutencao[[#This Row],[Hora Fim]]="","",(FManutencao[[#This Row],[Data Fim]]+FManutencao[[#This Row],[Hora Fim]])-(FManutencao[[#This Row],[Data Início]]+FManutencao[[#This Row],[Hora Início]])),"Data Fim errada")</f>
        <v>2.7777777795563452E-3</v>
      </c>
    </row>
    <row r="426" spans="2:11" hidden="1" x14ac:dyDescent="0.3">
      <c r="B426" s="2">
        <v>45973</v>
      </c>
      <c r="C426" s="7">
        <v>0.24583333333333332</v>
      </c>
      <c r="D426" s="3" t="s">
        <v>28</v>
      </c>
      <c r="E426" s="3">
        <v>2</v>
      </c>
      <c r="F426" s="3" t="s">
        <v>20</v>
      </c>
      <c r="G426" s="3" t="s">
        <v>21</v>
      </c>
      <c r="H426" s="3" t="s">
        <v>49</v>
      </c>
      <c r="I426" s="2">
        <v>45973</v>
      </c>
      <c r="J426" s="7">
        <v>0.24791666666666667</v>
      </c>
      <c r="K426" s="12">
        <f>IFERROR(IF(FManutencao[[#This Row],[Hora Fim]]="","",(FManutencao[[#This Row],[Data Fim]]+FManutencao[[#This Row],[Hora Fim]])-(FManutencao[[#This Row],[Data Início]]+FManutencao[[#This Row],[Hora Início]])),"Data Fim errada")</f>
        <v>2.0833333328482695E-3</v>
      </c>
    </row>
    <row r="427" spans="2:11" hidden="1" x14ac:dyDescent="0.3">
      <c r="B427" s="2">
        <v>45974</v>
      </c>
      <c r="C427" s="7">
        <v>0.29166666666666669</v>
      </c>
      <c r="D427" s="3" t="s">
        <v>19</v>
      </c>
      <c r="E427" s="3">
        <v>1</v>
      </c>
      <c r="F427" s="3" t="s">
        <v>20</v>
      </c>
      <c r="G427" s="3" t="s">
        <v>21</v>
      </c>
      <c r="H427" s="3" t="s">
        <v>61</v>
      </c>
      <c r="I427" s="2">
        <v>45974</v>
      </c>
      <c r="J427" s="7">
        <v>0.32916666666666666</v>
      </c>
      <c r="K427" s="12">
        <f>IFERROR(IF(FManutencao[[#This Row],[Hora Fim]]="","",(FManutencao[[#This Row],[Data Fim]]+FManutencao[[#This Row],[Hora Fim]])-(FManutencao[[#This Row],[Data Início]]+FManutencao[[#This Row],[Hora Início]])),"Data Fim errada")</f>
        <v>3.7500000005820766E-2</v>
      </c>
    </row>
    <row r="428" spans="2:11" hidden="1" x14ac:dyDescent="0.3">
      <c r="B428" s="2">
        <v>45974</v>
      </c>
      <c r="C428" s="7">
        <v>0.35625000000000001</v>
      </c>
      <c r="D428" s="3" t="s">
        <v>19</v>
      </c>
      <c r="E428" s="3">
        <v>1</v>
      </c>
      <c r="F428" s="3" t="s">
        <v>24</v>
      </c>
      <c r="G428" s="3" t="s">
        <v>29</v>
      </c>
      <c r="H428" s="3" t="s">
        <v>62</v>
      </c>
      <c r="I428" s="2">
        <v>45974</v>
      </c>
      <c r="J428" s="7">
        <v>0.39791666666666664</v>
      </c>
      <c r="K428" s="12">
        <f>IFERROR(IF(FManutencao[[#This Row],[Hora Fim]]="","",(FManutencao[[#This Row],[Data Fim]]+FManutencao[[#This Row],[Hora Fim]])-(FManutencao[[#This Row],[Data Início]]+FManutencao[[#This Row],[Hora Início]])),"Data Fim errada")</f>
        <v>4.1666666671517305E-2</v>
      </c>
    </row>
    <row r="429" spans="2:11" hidden="1" x14ac:dyDescent="0.3">
      <c r="B429" s="2">
        <v>45974</v>
      </c>
      <c r="C429" s="7">
        <v>0.53819444444444442</v>
      </c>
      <c r="D429" s="3" t="s">
        <v>19</v>
      </c>
      <c r="E429" s="3">
        <v>1</v>
      </c>
      <c r="F429" s="3" t="s">
        <v>24</v>
      </c>
      <c r="G429" s="3" t="s">
        <v>21</v>
      </c>
      <c r="H429" s="3" t="s">
        <v>63</v>
      </c>
      <c r="I429" s="2">
        <v>45974</v>
      </c>
      <c r="J429" s="7">
        <v>0.54791666666666672</v>
      </c>
      <c r="K429" s="12">
        <f>IFERROR(IF(FManutencao[[#This Row],[Hora Fim]]="","",(FManutencao[[#This Row],[Data Fim]]+FManutencao[[#This Row],[Hora Fim]])-(FManutencao[[#This Row],[Data Início]]+FManutencao[[#This Row],[Hora Início]])),"Data Fim errada")</f>
        <v>9.7222222248092294E-3</v>
      </c>
    </row>
    <row r="430" spans="2:11" hidden="1" x14ac:dyDescent="0.3">
      <c r="B430" s="2">
        <v>45974</v>
      </c>
      <c r="C430" s="7">
        <v>0.57430555555555551</v>
      </c>
      <c r="D430" s="3" t="s">
        <v>19</v>
      </c>
      <c r="E430" s="3">
        <v>1</v>
      </c>
      <c r="F430" s="3" t="s">
        <v>24</v>
      </c>
      <c r="G430" s="3" t="s">
        <v>29</v>
      </c>
      <c r="H430" s="3" t="s">
        <v>64</v>
      </c>
      <c r="I430" s="2">
        <v>45974</v>
      </c>
      <c r="J430" s="7">
        <v>0.7055555555555556</v>
      </c>
      <c r="K430" s="12">
        <f>IFERROR(IF(FManutencao[[#This Row],[Hora Fim]]="","",(FManutencao[[#This Row],[Data Fim]]+FManutencao[[#This Row],[Hora Fim]])-(FManutencao[[#This Row],[Data Início]]+FManutencao[[#This Row],[Hora Início]])),"Data Fim errada")</f>
        <v>0.13124999999854481</v>
      </c>
    </row>
    <row r="431" spans="2:11" hidden="1" x14ac:dyDescent="0.3">
      <c r="B431" s="2">
        <v>45974</v>
      </c>
      <c r="C431" s="7">
        <v>0.73750000000000004</v>
      </c>
      <c r="D431" s="3" t="s">
        <v>19</v>
      </c>
      <c r="E431" s="3">
        <v>1</v>
      </c>
      <c r="F431" s="3" t="s">
        <v>20</v>
      </c>
      <c r="G431" s="3" t="s">
        <v>21</v>
      </c>
      <c r="H431" s="3" t="s">
        <v>22</v>
      </c>
      <c r="I431" s="2">
        <v>45974</v>
      </c>
      <c r="J431" s="7">
        <v>0.74305555555555558</v>
      </c>
      <c r="K431" s="12">
        <f>IFERROR(IF(FManutencao[[#This Row],[Hora Fim]]="","",(FManutencao[[#This Row],[Data Fim]]+FManutencao[[#This Row],[Hora Fim]])-(FManutencao[[#This Row],[Data Início]]+FManutencao[[#This Row],[Hora Início]])),"Data Fim errada")</f>
        <v>5.5555555518367328E-3</v>
      </c>
    </row>
    <row r="432" spans="2:11" hidden="1" x14ac:dyDescent="0.3">
      <c r="B432" s="2">
        <v>45974</v>
      </c>
      <c r="C432" s="7">
        <v>0.29166666666666669</v>
      </c>
      <c r="D432" s="3" t="s">
        <v>26</v>
      </c>
      <c r="E432" s="3">
        <v>1</v>
      </c>
      <c r="F432" s="3" t="s">
        <v>20</v>
      </c>
      <c r="G432" s="3" t="s">
        <v>21</v>
      </c>
      <c r="H432" s="3" t="s">
        <v>61</v>
      </c>
      <c r="I432" s="2">
        <v>45974</v>
      </c>
      <c r="J432" s="7">
        <v>0.32916666666666666</v>
      </c>
      <c r="K432" s="12">
        <f>IFERROR(IF(FManutencao[[#This Row],[Hora Fim]]="","",(FManutencao[[#This Row],[Data Fim]]+FManutencao[[#This Row],[Hora Fim]])-(FManutencao[[#This Row],[Data Início]]+FManutencao[[#This Row],[Hora Início]])),"Data Fim errada")</f>
        <v>3.7500000005820766E-2</v>
      </c>
    </row>
    <row r="433" spans="2:11" hidden="1" x14ac:dyDescent="0.3">
      <c r="B433" s="2">
        <v>45974</v>
      </c>
      <c r="C433" s="7">
        <v>0.35625000000000001</v>
      </c>
      <c r="D433" s="3" t="s">
        <v>26</v>
      </c>
      <c r="E433" s="3">
        <v>1</v>
      </c>
      <c r="F433" s="3" t="s">
        <v>24</v>
      </c>
      <c r="G433" s="3" t="s">
        <v>21</v>
      </c>
      <c r="H433" s="3" t="s">
        <v>62</v>
      </c>
      <c r="I433" s="2">
        <v>45974</v>
      </c>
      <c r="J433" s="7">
        <v>0.39791666666666664</v>
      </c>
      <c r="K433" s="12">
        <f>IFERROR(IF(FManutencao[[#This Row],[Hora Fim]]="","",(FManutencao[[#This Row],[Data Fim]]+FManutencao[[#This Row],[Hora Fim]])-(FManutencao[[#This Row],[Data Início]]+FManutencao[[#This Row],[Hora Início]])),"Data Fim errada")</f>
        <v>4.1666666671517305E-2</v>
      </c>
    </row>
    <row r="434" spans="2:11" hidden="1" x14ac:dyDescent="0.3">
      <c r="B434" s="2">
        <v>45974</v>
      </c>
      <c r="C434" s="7">
        <v>0.53819444444444442</v>
      </c>
      <c r="D434" s="3" t="s">
        <v>26</v>
      </c>
      <c r="E434" s="3">
        <v>1</v>
      </c>
      <c r="F434" s="3" t="s">
        <v>24</v>
      </c>
      <c r="G434" s="3" t="s">
        <v>21</v>
      </c>
      <c r="H434" s="3" t="s">
        <v>63</v>
      </c>
      <c r="I434" s="2">
        <v>45974</v>
      </c>
      <c r="J434" s="7">
        <v>0.54791666666666672</v>
      </c>
      <c r="K434" s="12">
        <f>IFERROR(IF(FManutencao[[#This Row],[Hora Fim]]="","",(FManutencao[[#This Row],[Data Fim]]+FManutencao[[#This Row],[Hora Fim]])-(FManutencao[[#This Row],[Data Início]]+FManutencao[[#This Row],[Hora Início]])),"Data Fim errada")</f>
        <v>9.7222222248092294E-3</v>
      </c>
    </row>
    <row r="435" spans="2:11" hidden="1" x14ac:dyDescent="0.3">
      <c r="B435" s="2">
        <v>45974</v>
      </c>
      <c r="C435" s="7">
        <v>0.57430555555555551</v>
      </c>
      <c r="D435" s="3" t="s">
        <v>26</v>
      </c>
      <c r="E435" s="3">
        <v>1</v>
      </c>
      <c r="F435" s="3" t="s">
        <v>24</v>
      </c>
      <c r="G435" s="3" t="s">
        <v>21</v>
      </c>
      <c r="H435" s="3" t="s">
        <v>64</v>
      </c>
      <c r="I435" s="2">
        <v>45974</v>
      </c>
      <c r="J435" s="7">
        <v>0.7055555555555556</v>
      </c>
      <c r="K435" s="12">
        <f>IFERROR(IF(FManutencao[[#This Row],[Hora Fim]]="","",(FManutencao[[#This Row],[Data Fim]]+FManutencao[[#This Row],[Hora Fim]])-(FManutencao[[#This Row],[Data Início]]+FManutencao[[#This Row],[Hora Início]])),"Data Fim errada")</f>
        <v>0.13124999999854481</v>
      </c>
    </row>
    <row r="436" spans="2:11" hidden="1" x14ac:dyDescent="0.3">
      <c r="B436" s="2">
        <v>45974</v>
      </c>
      <c r="C436" s="7">
        <v>0.73750000000000004</v>
      </c>
      <c r="D436" s="3" t="s">
        <v>26</v>
      </c>
      <c r="E436" s="3">
        <v>1</v>
      </c>
      <c r="F436" s="3" t="s">
        <v>20</v>
      </c>
      <c r="G436" s="3" t="s">
        <v>21</v>
      </c>
      <c r="H436" s="3" t="s">
        <v>22</v>
      </c>
      <c r="I436" s="2">
        <v>45974</v>
      </c>
      <c r="J436" s="7">
        <v>0.74305555555555558</v>
      </c>
      <c r="K436" s="12">
        <f>IFERROR(IF(FManutencao[[#This Row],[Hora Fim]]="","",(FManutencao[[#This Row],[Data Fim]]+FManutencao[[#This Row],[Hora Fim]])-(FManutencao[[#This Row],[Data Início]]+FManutencao[[#This Row],[Hora Início]])),"Data Fim errada")</f>
        <v>5.5555555518367328E-3</v>
      </c>
    </row>
    <row r="437" spans="2:11" hidden="1" x14ac:dyDescent="0.3">
      <c r="B437" s="2">
        <v>45974</v>
      </c>
      <c r="C437" s="7">
        <v>0.29166666666666669</v>
      </c>
      <c r="D437" s="3" t="s">
        <v>27</v>
      </c>
      <c r="E437" s="3">
        <v>1</v>
      </c>
      <c r="F437" s="3" t="s">
        <v>20</v>
      </c>
      <c r="G437" s="3" t="s">
        <v>21</v>
      </c>
      <c r="H437" s="3" t="s">
        <v>61</v>
      </c>
      <c r="I437" s="2">
        <v>45974</v>
      </c>
      <c r="J437" s="7">
        <v>0.32916666666666666</v>
      </c>
      <c r="K437" s="12">
        <f>IFERROR(IF(FManutencao[[#This Row],[Hora Fim]]="","",(FManutencao[[#This Row],[Data Fim]]+FManutencao[[#This Row],[Hora Fim]])-(FManutencao[[#This Row],[Data Início]]+FManutencao[[#This Row],[Hora Início]])),"Data Fim errada")</f>
        <v>3.7500000005820766E-2</v>
      </c>
    </row>
    <row r="438" spans="2:11" hidden="1" x14ac:dyDescent="0.3">
      <c r="B438" s="2">
        <v>45974</v>
      </c>
      <c r="C438" s="7">
        <v>0.35625000000000001</v>
      </c>
      <c r="D438" s="3" t="s">
        <v>27</v>
      </c>
      <c r="E438" s="3">
        <v>1</v>
      </c>
      <c r="F438" s="3" t="s">
        <v>24</v>
      </c>
      <c r="G438" s="3" t="s">
        <v>21</v>
      </c>
      <c r="H438" s="3" t="s">
        <v>62</v>
      </c>
      <c r="I438" s="2">
        <v>45974</v>
      </c>
      <c r="J438" s="7">
        <v>0.39791666666666664</v>
      </c>
      <c r="K438" s="12">
        <f>IFERROR(IF(FManutencao[[#This Row],[Hora Fim]]="","",(FManutencao[[#This Row],[Data Fim]]+FManutencao[[#This Row],[Hora Fim]])-(FManutencao[[#This Row],[Data Início]]+FManutencao[[#This Row],[Hora Início]])),"Data Fim errada")</f>
        <v>4.1666666671517305E-2</v>
      </c>
    </row>
    <row r="439" spans="2:11" hidden="1" x14ac:dyDescent="0.3">
      <c r="B439" s="2">
        <v>45974</v>
      </c>
      <c r="C439" s="7">
        <v>0.53819444444444442</v>
      </c>
      <c r="D439" s="3" t="s">
        <v>27</v>
      </c>
      <c r="E439" s="3">
        <v>1</v>
      </c>
      <c r="F439" s="3" t="s">
        <v>24</v>
      </c>
      <c r="G439" s="3" t="s">
        <v>29</v>
      </c>
      <c r="H439" s="3" t="s">
        <v>63</v>
      </c>
      <c r="I439" s="2">
        <v>45974</v>
      </c>
      <c r="J439" s="7">
        <v>0.54791666666666672</v>
      </c>
      <c r="K439" s="12">
        <f>IFERROR(IF(FManutencao[[#This Row],[Hora Fim]]="","",(FManutencao[[#This Row],[Data Fim]]+FManutencao[[#This Row],[Hora Fim]])-(FManutencao[[#This Row],[Data Início]]+FManutencao[[#This Row],[Hora Início]])),"Data Fim errada")</f>
        <v>9.7222222248092294E-3</v>
      </c>
    </row>
    <row r="440" spans="2:11" hidden="1" x14ac:dyDescent="0.3">
      <c r="B440" s="2">
        <v>45974</v>
      </c>
      <c r="C440" s="7">
        <v>0.57430555555555551</v>
      </c>
      <c r="D440" s="3" t="s">
        <v>27</v>
      </c>
      <c r="E440" s="3">
        <v>1</v>
      </c>
      <c r="F440" s="3" t="s">
        <v>24</v>
      </c>
      <c r="G440" s="3" t="s">
        <v>21</v>
      </c>
      <c r="H440" s="3" t="s">
        <v>64</v>
      </c>
      <c r="I440" s="2">
        <v>45974</v>
      </c>
      <c r="J440" s="7">
        <v>0.7055555555555556</v>
      </c>
      <c r="K440" s="12">
        <f>IFERROR(IF(FManutencao[[#This Row],[Hora Fim]]="","",(FManutencao[[#This Row],[Data Fim]]+FManutencao[[#This Row],[Hora Fim]])-(FManutencao[[#This Row],[Data Início]]+FManutencao[[#This Row],[Hora Início]])),"Data Fim errada")</f>
        <v>0.13124999999854481</v>
      </c>
    </row>
    <row r="441" spans="2:11" hidden="1" x14ac:dyDescent="0.3">
      <c r="B441" s="2">
        <v>45974</v>
      </c>
      <c r="C441" s="7">
        <v>0.73750000000000004</v>
      </c>
      <c r="D441" s="3" t="s">
        <v>27</v>
      </c>
      <c r="E441" s="3">
        <v>1</v>
      </c>
      <c r="F441" s="3" t="s">
        <v>20</v>
      </c>
      <c r="G441" s="3" t="s">
        <v>21</v>
      </c>
      <c r="H441" s="3" t="s">
        <v>22</v>
      </c>
      <c r="I441" s="2">
        <v>45974</v>
      </c>
      <c r="J441" s="7">
        <v>0.74305555555555558</v>
      </c>
      <c r="K441" s="12">
        <f>IFERROR(IF(FManutencao[[#This Row],[Hora Fim]]="","",(FManutencao[[#This Row],[Data Fim]]+FManutencao[[#This Row],[Hora Fim]])-(FManutencao[[#This Row],[Data Início]]+FManutencao[[#This Row],[Hora Início]])),"Data Fim errada")</f>
        <v>5.5555555518367328E-3</v>
      </c>
    </row>
    <row r="442" spans="2:11" hidden="1" x14ac:dyDescent="0.3">
      <c r="B442" s="2">
        <v>45974</v>
      </c>
      <c r="C442" s="7">
        <v>0.29166666666666669</v>
      </c>
      <c r="D442" s="3" t="s">
        <v>28</v>
      </c>
      <c r="E442" s="3">
        <v>1</v>
      </c>
      <c r="F442" s="3" t="s">
        <v>20</v>
      </c>
      <c r="G442" s="3" t="s">
        <v>21</v>
      </c>
      <c r="H442" s="3" t="s">
        <v>61</v>
      </c>
      <c r="I442" s="2">
        <v>45974</v>
      </c>
      <c r="J442" s="7">
        <v>0.32916666666666666</v>
      </c>
      <c r="K442" s="12">
        <f>IFERROR(IF(FManutencao[[#This Row],[Hora Fim]]="","",(FManutencao[[#This Row],[Data Fim]]+FManutencao[[#This Row],[Hora Fim]])-(FManutencao[[#This Row],[Data Início]]+FManutencao[[#This Row],[Hora Início]])),"Data Fim errada")</f>
        <v>3.7500000005820766E-2</v>
      </c>
    </row>
    <row r="443" spans="2:11" hidden="1" x14ac:dyDescent="0.3">
      <c r="B443" s="2">
        <v>45974</v>
      </c>
      <c r="C443" s="7">
        <v>0.35625000000000001</v>
      </c>
      <c r="D443" s="3" t="s">
        <v>28</v>
      </c>
      <c r="E443" s="3">
        <v>1</v>
      </c>
      <c r="F443" s="3" t="s">
        <v>24</v>
      </c>
      <c r="G443" s="3" t="s">
        <v>21</v>
      </c>
      <c r="H443" s="3" t="s">
        <v>62</v>
      </c>
      <c r="I443" s="2">
        <v>45974</v>
      </c>
      <c r="J443" s="7">
        <v>0.39791666666666664</v>
      </c>
      <c r="K443" s="12">
        <f>IFERROR(IF(FManutencao[[#This Row],[Hora Fim]]="","",(FManutencao[[#This Row],[Data Fim]]+FManutencao[[#This Row],[Hora Fim]])-(FManutencao[[#This Row],[Data Início]]+FManutencao[[#This Row],[Hora Início]])),"Data Fim errada")</f>
        <v>4.1666666671517305E-2</v>
      </c>
    </row>
    <row r="444" spans="2:11" hidden="1" x14ac:dyDescent="0.3">
      <c r="B444" s="2">
        <v>45974</v>
      </c>
      <c r="C444" s="7">
        <v>0.53819444444444442</v>
      </c>
      <c r="D444" s="3" t="s">
        <v>28</v>
      </c>
      <c r="E444" s="3">
        <v>1</v>
      </c>
      <c r="F444" s="3" t="s">
        <v>24</v>
      </c>
      <c r="G444" s="3" t="s">
        <v>21</v>
      </c>
      <c r="H444" s="3" t="s">
        <v>63</v>
      </c>
      <c r="I444" s="2">
        <v>45974</v>
      </c>
      <c r="J444" s="7">
        <v>0.54791666666666672</v>
      </c>
      <c r="K444" s="12">
        <f>IFERROR(IF(FManutencao[[#This Row],[Hora Fim]]="","",(FManutencao[[#This Row],[Data Fim]]+FManutencao[[#This Row],[Hora Fim]])-(FManutencao[[#This Row],[Data Início]]+FManutencao[[#This Row],[Hora Início]])),"Data Fim errada")</f>
        <v>9.7222222248092294E-3</v>
      </c>
    </row>
    <row r="445" spans="2:11" hidden="1" x14ac:dyDescent="0.3">
      <c r="B445" s="2">
        <v>45974</v>
      </c>
      <c r="C445" s="7">
        <v>0.57430555555555551</v>
      </c>
      <c r="D445" s="3" t="s">
        <v>28</v>
      </c>
      <c r="E445" s="3">
        <v>1</v>
      </c>
      <c r="F445" s="3" t="s">
        <v>24</v>
      </c>
      <c r="G445" s="3" t="s">
        <v>21</v>
      </c>
      <c r="H445" s="3" t="s">
        <v>64</v>
      </c>
      <c r="I445" s="2">
        <v>45974</v>
      </c>
      <c r="J445" s="7">
        <v>0.7055555555555556</v>
      </c>
      <c r="K445" s="12">
        <f>IFERROR(IF(FManutencao[[#This Row],[Hora Fim]]="","",(FManutencao[[#This Row],[Data Fim]]+FManutencao[[#This Row],[Hora Fim]])-(FManutencao[[#This Row],[Data Início]]+FManutencao[[#This Row],[Hora Início]])),"Data Fim errada")</f>
        <v>0.13124999999854481</v>
      </c>
    </row>
    <row r="446" spans="2:11" hidden="1" x14ac:dyDescent="0.3">
      <c r="B446" s="2">
        <v>45974</v>
      </c>
      <c r="C446" s="7">
        <v>0.73750000000000004</v>
      </c>
      <c r="D446" s="3" t="s">
        <v>28</v>
      </c>
      <c r="E446" s="3">
        <v>1</v>
      </c>
      <c r="F446" s="3" t="s">
        <v>20</v>
      </c>
      <c r="G446" s="3" t="s">
        <v>21</v>
      </c>
      <c r="H446" s="3" t="s">
        <v>22</v>
      </c>
      <c r="I446" s="2">
        <v>45974</v>
      </c>
      <c r="J446" s="7">
        <v>0.74305555555555558</v>
      </c>
      <c r="K446" s="12">
        <f>IFERROR(IF(FManutencao[[#This Row],[Hora Fim]]="","",(FManutencao[[#This Row],[Data Fim]]+FManutencao[[#This Row],[Hora Fim]])-(FManutencao[[#This Row],[Data Início]]+FManutencao[[#This Row],[Hora Início]])),"Data Fim errada")</f>
        <v>5.5555555518367328E-3</v>
      </c>
    </row>
    <row r="447" spans="2:11" hidden="1" x14ac:dyDescent="0.3">
      <c r="B447" s="2">
        <v>45974</v>
      </c>
      <c r="C447" s="7">
        <v>0.10416666666666667</v>
      </c>
      <c r="D447" s="3" t="s">
        <v>19</v>
      </c>
      <c r="E447" s="3">
        <v>2</v>
      </c>
      <c r="F447" s="3" t="s">
        <v>24</v>
      </c>
      <c r="G447" s="3" t="s">
        <v>21</v>
      </c>
      <c r="H447" s="3" t="s">
        <v>51</v>
      </c>
      <c r="I447" s="2">
        <v>45974</v>
      </c>
      <c r="J447" s="7">
        <v>0.23333333333333334</v>
      </c>
      <c r="K447" s="12">
        <f>IFERROR(IF(FManutencao[[#This Row],[Hora Fim]]="","",(FManutencao[[#This Row],[Data Fim]]+FManutencao[[#This Row],[Hora Fim]])-(FManutencao[[#This Row],[Data Início]]+FManutencao[[#This Row],[Hora Início]])),"Data Fim errada")</f>
        <v>0.12916666666569654</v>
      </c>
    </row>
    <row r="448" spans="2:11" hidden="1" x14ac:dyDescent="0.3">
      <c r="B448" s="2">
        <v>45974</v>
      </c>
      <c r="C448" s="7">
        <v>0.10416666666666667</v>
      </c>
      <c r="D448" s="3" t="s">
        <v>26</v>
      </c>
      <c r="E448" s="3">
        <v>2</v>
      </c>
      <c r="F448" s="3" t="s">
        <v>24</v>
      </c>
      <c r="G448" s="3" t="s">
        <v>21</v>
      </c>
      <c r="H448" s="3" t="s">
        <v>51</v>
      </c>
      <c r="I448" s="2">
        <v>45974</v>
      </c>
      <c r="J448" s="7">
        <v>0.23333333333333334</v>
      </c>
      <c r="K448" s="12">
        <f>IFERROR(IF(FManutencao[[#This Row],[Hora Fim]]="","",(FManutencao[[#This Row],[Data Fim]]+FManutencao[[#This Row],[Hora Fim]])-(FManutencao[[#This Row],[Data Início]]+FManutencao[[#This Row],[Hora Início]])),"Data Fim errada")</f>
        <v>0.12916666666569654</v>
      </c>
    </row>
    <row r="449" spans="2:11" hidden="1" x14ac:dyDescent="0.3">
      <c r="B449" s="2">
        <v>45974</v>
      </c>
      <c r="C449" s="7">
        <v>0.10416666666666667</v>
      </c>
      <c r="D449" s="3" t="s">
        <v>27</v>
      </c>
      <c r="E449" s="3">
        <v>2</v>
      </c>
      <c r="F449" s="3" t="s">
        <v>24</v>
      </c>
      <c r="G449" s="3" t="s">
        <v>29</v>
      </c>
      <c r="H449" s="3" t="s">
        <v>51</v>
      </c>
      <c r="I449" s="2">
        <v>45974</v>
      </c>
      <c r="J449" s="7">
        <v>0.23333333333333334</v>
      </c>
      <c r="K449" s="12">
        <f>IFERROR(IF(FManutencao[[#This Row],[Hora Fim]]="","",(FManutencao[[#This Row],[Data Fim]]+FManutencao[[#This Row],[Hora Fim]])-(FManutencao[[#This Row],[Data Início]]+FManutencao[[#This Row],[Hora Início]])),"Data Fim errada")</f>
        <v>0.12916666666569654</v>
      </c>
    </row>
    <row r="450" spans="2:11" hidden="1" x14ac:dyDescent="0.3">
      <c r="B450" s="2">
        <v>45974</v>
      </c>
      <c r="C450" s="7">
        <v>0.10416666666666667</v>
      </c>
      <c r="D450" s="3" t="s">
        <v>28</v>
      </c>
      <c r="E450" s="3">
        <v>2</v>
      </c>
      <c r="F450" s="3" t="s">
        <v>24</v>
      </c>
      <c r="G450" s="3" t="s">
        <v>21</v>
      </c>
      <c r="H450" s="3" t="s">
        <v>51</v>
      </c>
      <c r="I450" s="2">
        <v>45974</v>
      </c>
      <c r="J450" s="7">
        <v>0.23333333333333334</v>
      </c>
      <c r="K450" s="12">
        <f>IFERROR(IF(FManutencao[[#This Row],[Hora Fim]]="","",(FManutencao[[#This Row],[Data Fim]]+FManutencao[[#This Row],[Hora Fim]])-(FManutencao[[#This Row],[Data Início]]+FManutencao[[#This Row],[Hora Início]])),"Data Fim errada")</f>
        <v>0.12916666666569654</v>
      </c>
    </row>
  </sheetData>
  <sheetProtection formatCells="0" formatColumns="0" insertColumns="0" deleteColumns="0" deleteRows="0" selectLockedCells="1" selectUnlockedCells="1"/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errorTitle="LANÇAMENTO ERRADO" xr:uid="{A10A1BF8-280B-4C18-9499-73BA87E7DA4F}">
          <x14:formula1>
            <xm:f>BASE!$D$5:$D$6</xm:f>
          </x14:formula1>
          <xm:sqref>F3:F1048576</xm:sqref>
        </x14:dataValidation>
        <x14:dataValidation type="list" allowBlank="1" showInputMessage="1" showErrorMessage="1" errorTitle="LANÇAMENTO ERRADO" xr:uid="{893924EA-315F-475D-9F86-B6067B33A748}">
          <x14:formula1>
            <xm:f>BASE!$H$5:$H$6</xm:f>
          </x14:formula1>
          <xm:sqref>G3:G1048576</xm:sqref>
        </x14:dataValidation>
        <x14:dataValidation type="list" allowBlank="1" showInputMessage="1" showErrorMessage="1" errorTitle="LANÇAMENTO ERRADO" xr:uid="{1D247010-4DE2-46B2-A3A1-8B8C849CEA70}">
          <x14:formula1>
            <xm:f>BASE!$F$5:$F$8</xm:f>
          </x14:formula1>
          <xm:sqref>D3:D1048576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BCE61-E02B-4CCF-AD92-99045838FC34}">
  <dimension ref="B2:E33"/>
  <sheetViews>
    <sheetView showGridLines="0" workbookViewId="0">
      <selection activeCell="G14" sqref="G14"/>
    </sheetView>
  </sheetViews>
  <sheetFormatPr defaultRowHeight="14.4" x14ac:dyDescent="0.3"/>
  <cols>
    <col min="1" max="1" width="2" customWidth="1"/>
    <col min="2" max="2" width="10.33203125" style="1" bestFit="1" customWidth="1"/>
    <col min="3" max="3" width="14.6640625" style="1" bestFit="1" customWidth="1"/>
    <col min="4" max="4" width="19.6640625" customWidth="1"/>
  </cols>
  <sheetData>
    <row r="2" spans="2:5" ht="30" customHeight="1" x14ac:dyDescent="0.3">
      <c r="B2" s="8" t="s">
        <v>65</v>
      </c>
      <c r="C2" s="9" t="s">
        <v>66</v>
      </c>
      <c r="D2" s="10" t="s">
        <v>67</v>
      </c>
    </row>
    <row r="3" spans="2:5" x14ac:dyDescent="0.3">
      <c r="B3" s="2">
        <v>45992</v>
      </c>
      <c r="C3" s="5"/>
      <c r="D3" s="3">
        <f>4225.2+2406.6</f>
        <v>6631.7999999999993</v>
      </c>
    </row>
    <row r="4" spans="2:5" x14ac:dyDescent="0.3">
      <c r="B4" s="2">
        <v>45993</v>
      </c>
      <c r="C4" s="5"/>
      <c r="D4" s="3">
        <f>1495.2+2574.6</f>
        <v>4069.8</v>
      </c>
    </row>
    <row r="5" spans="2:5" x14ac:dyDescent="0.3">
      <c r="B5" s="2">
        <v>45994</v>
      </c>
      <c r="C5" s="5"/>
      <c r="D5" s="3">
        <f>3217.2+2731.4</f>
        <v>5948.6</v>
      </c>
    </row>
    <row r="6" spans="2:5" x14ac:dyDescent="0.3">
      <c r="B6" s="2">
        <v>45995</v>
      </c>
      <c r="C6" s="5"/>
      <c r="D6" s="3">
        <f>2297.4+3679.2</f>
        <v>5976.6</v>
      </c>
    </row>
    <row r="7" spans="2:5" x14ac:dyDescent="0.3">
      <c r="B7" s="2">
        <v>45996</v>
      </c>
      <c r="C7" s="5"/>
      <c r="D7" s="3">
        <f>3578.4+1100.4</f>
        <v>4678.8</v>
      </c>
    </row>
    <row r="8" spans="2:5" x14ac:dyDescent="0.3">
      <c r="B8" s="2">
        <v>45997</v>
      </c>
      <c r="C8" s="5"/>
      <c r="D8" s="3">
        <f>3847.2</f>
        <v>3847.2</v>
      </c>
      <c r="E8" t="s">
        <v>185</v>
      </c>
    </row>
    <row r="9" spans="2:5" x14ac:dyDescent="0.3">
      <c r="B9" s="2">
        <v>45998</v>
      </c>
      <c r="C9" s="5"/>
      <c r="D9" s="3">
        <f>3897.6+2297.4</f>
        <v>6195</v>
      </c>
    </row>
    <row r="10" spans="2:5" x14ac:dyDescent="0.3">
      <c r="B10" s="2">
        <v>45999</v>
      </c>
      <c r="C10" s="5"/>
      <c r="D10" s="3">
        <f>4170.6+2083.2</f>
        <v>6253.8</v>
      </c>
    </row>
    <row r="11" spans="2:5" x14ac:dyDescent="0.3">
      <c r="B11" s="2">
        <v>46000</v>
      </c>
      <c r="C11" s="5"/>
      <c r="D11" s="3">
        <f>3053.4+1688.4</f>
        <v>4741.8</v>
      </c>
    </row>
    <row r="12" spans="2:5" x14ac:dyDescent="0.3">
      <c r="B12" s="2">
        <v>46001</v>
      </c>
      <c r="C12" s="5"/>
      <c r="D12" s="3"/>
    </row>
    <row r="13" spans="2:5" x14ac:dyDescent="0.3">
      <c r="B13" s="2">
        <v>46002</v>
      </c>
      <c r="C13" s="5"/>
      <c r="D13" s="3"/>
    </row>
    <row r="14" spans="2:5" x14ac:dyDescent="0.3">
      <c r="B14" s="2">
        <v>46003</v>
      </c>
      <c r="C14" s="5"/>
      <c r="D14" s="3"/>
    </row>
    <row r="15" spans="2:5" x14ac:dyDescent="0.3">
      <c r="B15" s="2">
        <v>46004</v>
      </c>
      <c r="C15" s="5"/>
      <c r="D15" s="3"/>
    </row>
    <row r="16" spans="2:5" x14ac:dyDescent="0.3">
      <c r="B16" s="2">
        <v>46005</v>
      </c>
      <c r="C16" s="5"/>
      <c r="D16" s="3"/>
    </row>
    <row r="17" spans="2:4" x14ac:dyDescent="0.3">
      <c r="B17" s="2">
        <v>46006</v>
      </c>
      <c r="C17" s="5"/>
      <c r="D17" s="3"/>
    </row>
    <row r="18" spans="2:4" x14ac:dyDescent="0.3">
      <c r="B18" s="2">
        <v>46007</v>
      </c>
      <c r="C18" s="5"/>
      <c r="D18" s="3"/>
    </row>
    <row r="19" spans="2:4" x14ac:dyDescent="0.3">
      <c r="B19" s="2">
        <v>46008</v>
      </c>
      <c r="C19" s="5"/>
      <c r="D19" s="3"/>
    </row>
    <row r="20" spans="2:4" x14ac:dyDescent="0.3">
      <c r="B20" s="2">
        <v>46009</v>
      </c>
      <c r="C20" s="5"/>
      <c r="D20" s="3"/>
    </row>
    <row r="21" spans="2:4" x14ac:dyDescent="0.3">
      <c r="B21" s="2">
        <v>46010</v>
      </c>
      <c r="C21" s="5"/>
      <c r="D21" s="3"/>
    </row>
    <row r="22" spans="2:4" x14ac:dyDescent="0.3">
      <c r="B22" s="2">
        <v>46011</v>
      </c>
      <c r="C22" s="5"/>
      <c r="D22" s="3"/>
    </row>
    <row r="23" spans="2:4" x14ac:dyDescent="0.3">
      <c r="B23" s="2">
        <v>46012</v>
      </c>
      <c r="C23" s="5"/>
      <c r="D23" s="3"/>
    </row>
    <row r="24" spans="2:4" x14ac:dyDescent="0.3">
      <c r="B24" s="2">
        <v>46013</v>
      </c>
      <c r="C24" s="5"/>
      <c r="D24" s="3"/>
    </row>
    <row r="25" spans="2:4" x14ac:dyDescent="0.3">
      <c r="B25" s="2">
        <v>46014</v>
      </c>
      <c r="C25" s="5"/>
      <c r="D25" s="3"/>
    </row>
    <row r="26" spans="2:4" x14ac:dyDescent="0.3">
      <c r="B26" s="2">
        <v>46015</v>
      </c>
      <c r="C26" s="5"/>
      <c r="D26" s="3"/>
    </row>
    <row r="27" spans="2:4" x14ac:dyDescent="0.3">
      <c r="B27" s="2">
        <v>46016</v>
      </c>
      <c r="C27" s="5"/>
      <c r="D27" s="3"/>
    </row>
    <row r="28" spans="2:4" x14ac:dyDescent="0.3">
      <c r="B28" s="2">
        <v>46017</v>
      </c>
      <c r="C28" s="5"/>
      <c r="D28" s="3"/>
    </row>
    <row r="29" spans="2:4" x14ac:dyDescent="0.3">
      <c r="B29" s="2">
        <v>46018</v>
      </c>
      <c r="C29" s="5"/>
      <c r="D29" s="3"/>
    </row>
    <row r="30" spans="2:4" x14ac:dyDescent="0.3">
      <c r="B30" s="2">
        <v>46019</v>
      </c>
      <c r="C30" s="5"/>
      <c r="D30" s="3"/>
    </row>
    <row r="31" spans="2:4" x14ac:dyDescent="0.3">
      <c r="B31" s="2">
        <v>46020</v>
      </c>
      <c r="C31" s="5"/>
      <c r="D31" s="3"/>
    </row>
    <row r="32" spans="2:4" x14ac:dyDescent="0.3">
      <c r="B32" s="2">
        <v>46021</v>
      </c>
      <c r="C32" s="5"/>
      <c r="D32" s="3"/>
    </row>
    <row r="33" spans="2:4" x14ac:dyDescent="0.3">
      <c r="B33" s="2">
        <v>46022</v>
      </c>
      <c r="C33" s="5"/>
      <c r="D33" s="3"/>
    </row>
  </sheetData>
  <sheetProtection insertColumns="0" deleteColumns="0" deleteRows="0" selectLockedCells="1" selectUnlockedCells="1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0F8AC-4E9F-4774-BD28-1151B98CDECB}">
  <dimension ref="A1:E32"/>
  <sheetViews>
    <sheetView workbookViewId="0">
      <selection activeCell="K16" sqref="K16"/>
    </sheetView>
  </sheetViews>
  <sheetFormatPr defaultColWidth="9.109375" defaultRowHeight="14.4" x14ac:dyDescent="0.3"/>
  <cols>
    <col min="1" max="1" width="10.44140625" style="2" bestFit="1" customWidth="1"/>
    <col min="2" max="2" width="15.88671875" style="3" bestFit="1" customWidth="1"/>
    <col min="3" max="4" width="17.88671875" style="3" bestFit="1" customWidth="1"/>
    <col min="5" max="5" width="19.5546875" style="3" bestFit="1" customWidth="1"/>
    <col min="6" max="16384" width="9.109375" style="3"/>
  </cols>
  <sheetData>
    <row r="1" spans="1:5" x14ac:dyDescent="0.3">
      <c r="A1" s="2" t="s">
        <v>65</v>
      </c>
      <c r="B1" s="3" t="s">
        <v>186</v>
      </c>
      <c r="C1" s="3" t="s">
        <v>188</v>
      </c>
      <c r="D1" s="3" t="s">
        <v>189</v>
      </c>
      <c r="E1" s="3" t="s">
        <v>187</v>
      </c>
    </row>
    <row r="2" spans="1:5" x14ac:dyDescent="0.3">
      <c r="A2" s="2">
        <v>45992</v>
      </c>
      <c r="C2" s="3">
        <v>2406.6</v>
      </c>
      <c r="D2" s="3">
        <v>4225.2</v>
      </c>
      <c r="E2" s="3">
        <f>Tabela6[[#This Row],[Produção 1° T]]+Tabela6[[#This Row],[Produção 2° T]]</f>
        <v>6631.7999999999993</v>
      </c>
    </row>
    <row r="3" spans="1:5" x14ac:dyDescent="0.3">
      <c r="A3" s="2">
        <v>45993</v>
      </c>
      <c r="C3" s="3">
        <v>2574.6</v>
      </c>
      <c r="D3" s="3">
        <v>1495.2</v>
      </c>
      <c r="E3" s="3">
        <f>Tabela6[[#This Row],[Produção 1° T]]+Tabela6[[#This Row],[Produção 2° T]]</f>
        <v>4069.8</v>
      </c>
    </row>
    <row r="4" spans="1:5" x14ac:dyDescent="0.3">
      <c r="A4" s="2">
        <v>45994</v>
      </c>
      <c r="C4" s="3">
        <v>2731.4</v>
      </c>
      <c r="D4" s="3">
        <v>3217.2</v>
      </c>
      <c r="E4" s="3">
        <f>Tabela6[[#This Row],[Produção 1° T]]+Tabela6[[#This Row],[Produção 2° T]]</f>
        <v>5948.6</v>
      </c>
    </row>
    <row r="5" spans="1:5" x14ac:dyDescent="0.3">
      <c r="A5" s="2">
        <v>45995</v>
      </c>
      <c r="C5" s="3">
        <v>2297.4</v>
      </c>
      <c r="D5" s="3">
        <v>3679.2</v>
      </c>
      <c r="E5" s="3">
        <f>Tabela6[[#This Row],[Produção 1° T]]+Tabela6[[#This Row],[Produção 2° T]]</f>
        <v>5976.6</v>
      </c>
    </row>
    <row r="6" spans="1:5" x14ac:dyDescent="0.3">
      <c r="A6" s="2">
        <v>45996</v>
      </c>
      <c r="C6" s="3">
        <v>3578.4</v>
      </c>
      <c r="D6" s="3">
        <v>1100.4000000000001</v>
      </c>
      <c r="E6" s="3">
        <f>Tabela6[[#This Row],[Produção 1° T]]+Tabela6[[#This Row],[Produção 2° T]]</f>
        <v>4678.8</v>
      </c>
    </row>
    <row r="7" spans="1:5" x14ac:dyDescent="0.3">
      <c r="A7" s="2">
        <v>45997</v>
      </c>
      <c r="C7" s="20"/>
      <c r="D7" s="3">
        <v>3847.2</v>
      </c>
      <c r="E7" s="3">
        <f>Tabela6[[#This Row],[Produção 1° T]]+Tabela6[[#This Row],[Produção 2° T]]</f>
        <v>3847.2</v>
      </c>
    </row>
    <row r="8" spans="1:5" x14ac:dyDescent="0.3">
      <c r="A8" s="2">
        <v>45998</v>
      </c>
      <c r="C8" s="3">
        <v>3897.6</v>
      </c>
      <c r="D8" s="3">
        <v>2297.4</v>
      </c>
      <c r="E8" s="3">
        <f>Tabela6[[#This Row],[Produção 1° T]]+Tabela6[[#This Row],[Produção 2° T]]</f>
        <v>6195</v>
      </c>
    </row>
    <row r="9" spans="1:5" x14ac:dyDescent="0.3">
      <c r="A9" s="2">
        <v>45999</v>
      </c>
      <c r="C9" s="3">
        <v>4170.6000000000004</v>
      </c>
      <c r="D9" s="3">
        <v>2083.1999999999998</v>
      </c>
      <c r="E9" s="3">
        <f>Tabela6[[#This Row],[Produção 1° T]]+Tabela6[[#This Row],[Produção 2° T]]</f>
        <v>6253.8</v>
      </c>
    </row>
    <row r="10" spans="1:5" x14ac:dyDescent="0.3">
      <c r="A10" s="2">
        <v>46000</v>
      </c>
      <c r="C10" s="3">
        <v>3053.4</v>
      </c>
      <c r="D10" s="3">
        <v>1688.4</v>
      </c>
      <c r="E10" s="3">
        <f>Tabela6[[#This Row],[Produção 1° T]]+Tabela6[[#This Row],[Produção 2° T]]</f>
        <v>4741.8</v>
      </c>
    </row>
    <row r="11" spans="1:5" x14ac:dyDescent="0.3">
      <c r="A11" s="2">
        <v>46001</v>
      </c>
      <c r="C11" s="3">
        <v>4153.8</v>
      </c>
      <c r="D11" s="3">
        <v>3166.8</v>
      </c>
      <c r="E11" s="3">
        <f>Tabela6[[#This Row],[Produção 1° T]]+Tabela6[[#This Row],[Produção 2° T]]</f>
        <v>7320.6</v>
      </c>
    </row>
    <row r="12" spans="1:5" x14ac:dyDescent="0.3">
      <c r="A12" s="2">
        <v>46002</v>
      </c>
      <c r="C12" s="3">
        <v>1415.4</v>
      </c>
      <c r="D12" s="3">
        <v>546</v>
      </c>
      <c r="E12" s="3">
        <f>Tabela6[[#This Row],[Produção 1° T]]+Tabela6[[#This Row],[Produção 2° T]]</f>
        <v>1961.4</v>
      </c>
    </row>
    <row r="13" spans="1:5" x14ac:dyDescent="0.3">
      <c r="A13" s="2">
        <v>46003</v>
      </c>
      <c r="C13" s="3">
        <v>3578.4</v>
      </c>
      <c r="D13" s="3">
        <v>3864</v>
      </c>
      <c r="E13" s="3">
        <f>Tabela6[[#This Row],[Produção 1° T]]+Tabela6[[#This Row],[Produção 2° T]]</f>
        <v>7442.4</v>
      </c>
    </row>
    <row r="14" spans="1:5" x14ac:dyDescent="0.3">
      <c r="A14" s="2">
        <v>46004</v>
      </c>
      <c r="C14" s="3">
        <v>4431</v>
      </c>
      <c r="D14" s="3">
        <v>4153.8</v>
      </c>
      <c r="E14" s="3">
        <f>Tabela6[[#This Row],[Produção 1° T]]+Tabela6[[#This Row],[Produção 2° T]]</f>
        <v>8584.7999999999993</v>
      </c>
    </row>
    <row r="15" spans="1:5" x14ac:dyDescent="0.3">
      <c r="A15" s="2">
        <v>46005</v>
      </c>
      <c r="C15" s="3">
        <v>2305.8000000000002</v>
      </c>
      <c r="D15" s="3">
        <v>2713.2</v>
      </c>
      <c r="E15" s="3">
        <f>Tabela6[[#This Row],[Produção 1° T]]+Tabela6[[#This Row],[Produção 2° T]]</f>
        <v>5019</v>
      </c>
    </row>
    <row r="16" spans="1:5" x14ac:dyDescent="0.3">
      <c r="A16" s="2">
        <v>46006</v>
      </c>
      <c r="C16" s="3">
        <v>2818.4</v>
      </c>
      <c r="D16" s="3">
        <v>1932</v>
      </c>
      <c r="E16" s="3">
        <f>Tabela6[[#This Row],[Produção 1° T]]+Tabela6[[#This Row],[Produção 2° T]]</f>
        <v>4750.3999999999996</v>
      </c>
    </row>
    <row r="17" spans="1:5" x14ac:dyDescent="0.3">
      <c r="A17" s="2">
        <v>46007</v>
      </c>
      <c r="C17" s="3">
        <v>2263.8000000000002</v>
      </c>
      <c r="D17" s="20"/>
      <c r="E17" s="3">
        <f>Tabela6[[#This Row],[Produção 1° T]]+Tabela6[[#This Row],[Produção 2° T]]</f>
        <v>2263.8000000000002</v>
      </c>
    </row>
    <row r="18" spans="1:5" x14ac:dyDescent="0.3">
      <c r="A18" s="2">
        <v>46008</v>
      </c>
      <c r="C18" s="3">
        <v>1919.4</v>
      </c>
      <c r="D18" s="3">
        <v>1692.6</v>
      </c>
      <c r="E18" s="3">
        <f>Tabela6[[#This Row],[Produção 1° T]]+Tabela6[[#This Row],[Produção 2° T]]</f>
        <v>3612</v>
      </c>
    </row>
    <row r="19" spans="1:5" x14ac:dyDescent="0.3">
      <c r="A19" s="2">
        <v>46009</v>
      </c>
      <c r="C19" s="3">
        <v>3019.2</v>
      </c>
      <c r="D19" s="3">
        <v>4359.6000000000004</v>
      </c>
      <c r="E19" s="3">
        <f>Tabela6[[#This Row],[Produção 1° T]]+Tabela6[[#This Row],[Produção 2° T]]</f>
        <v>7378.8</v>
      </c>
    </row>
    <row r="20" spans="1:5" x14ac:dyDescent="0.3">
      <c r="A20" s="2">
        <v>46010</v>
      </c>
      <c r="C20" s="3">
        <v>2436</v>
      </c>
      <c r="D20" s="3">
        <v>3569.8</v>
      </c>
      <c r="E20" s="3">
        <f>Tabela6[[#This Row],[Produção 1° T]]+Tabela6[[#This Row],[Produção 2° T]]</f>
        <v>6005.8</v>
      </c>
    </row>
    <row r="21" spans="1:5" x14ac:dyDescent="0.3">
      <c r="A21" s="2">
        <v>46011</v>
      </c>
      <c r="C21" s="20"/>
      <c r="D21" s="3">
        <v>1918.6</v>
      </c>
      <c r="E21" s="3">
        <f>Tabela6[[#This Row],[Produção 1° T]]+Tabela6[[#This Row],[Produção 2° T]]</f>
        <v>1918.6</v>
      </c>
    </row>
    <row r="22" spans="1:5" x14ac:dyDescent="0.3">
      <c r="A22" s="2">
        <v>46012</v>
      </c>
      <c r="C22" s="3">
        <v>3217.2</v>
      </c>
      <c r="E22" s="3">
        <f>Tabela6[[#This Row],[Produção 1° T]]+Tabela6[[#This Row],[Produção 2° T]]</f>
        <v>3217.2</v>
      </c>
    </row>
    <row r="23" spans="1:5" x14ac:dyDescent="0.3">
      <c r="A23" s="2">
        <v>46013</v>
      </c>
      <c r="E23" s="3">
        <f>Tabela6[[#This Row],[Produção 1° T]]+Tabela6[[#This Row],[Produção 2° T]]</f>
        <v>0</v>
      </c>
    </row>
    <row r="24" spans="1:5" x14ac:dyDescent="0.3">
      <c r="A24" s="2">
        <v>46014</v>
      </c>
      <c r="E24" s="3">
        <f>Tabela6[[#This Row],[Produção 1° T]]+Tabela6[[#This Row],[Produção 2° T]]</f>
        <v>0</v>
      </c>
    </row>
    <row r="25" spans="1:5" x14ac:dyDescent="0.3">
      <c r="A25" s="2">
        <v>46015</v>
      </c>
      <c r="E25" s="3">
        <f>Tabela6[[#This Row],[Produção 1° T]]+Tabela6[[#This Row],[Produção 2° T]]</f>
        <v>0</v>
      </c>
    </row>
    <row r="26" spans="1:5" x14ac:dyDescent="0.3">
      <c r="A26" s="2">
        <v>46016</v>
      </c>
      <c r="E26" s="3">
        <f>Tabela6[[#This Row],[Produção 1° T]]+Tabela6[[#This Row],[Produção 2° T]]</f>
        <v>0</v>
      </c>
    </row>
    <row r="27" spans="1:5" x14ac:dyDescent="0.3">
      <c r="A27" s="2">
        <v>46017</v>
      </c>
      <c r="E27" s="3">
        <f>Tabela6[[#This Row],[Produção 1° T]]+Tabela6[[#This Row],[Produção 2° T]]</f>
        <v>0</v>
      </c>
    </row>
    <row r="28" spans="1:5" x14ac:dyDescent="0.3">
      <c r="A28" s="2">
        <v>46018</v>
      </c>
      <c r="E28" s="3">
        <f>Tabela6[[#This Row],[Produção 1° T]]+Tabela6[[#This Row],[Produção 2° T]]</f>
        <v>0</v>
      </c>
    </row>
    <row r="29" spans="1:5" x14ac:dyDescent="0.3">
      <c r="A29" s="2">
        <v>46019</v>
      </c>
      <c r="E29" s="3">
        <f>Tabela6[[#This Row],[Produção 1° T]]+Tabela6[[#This Row],[Produção 2° T]]</f>
        <v>0</v>
      </c>
    </row>
    <row r="30" spans="1:5" x14ac:dyDescent="0.3">
      <c r="A30" s="2">
        <v>46020</v>
      </c>
      <c r="E30" s="3">
        <f>Tabela6[[#This Row],[Produção 1° T]]+Tabela6[[#This Row],[Produção 2° T]]</f>
        <v>0</v>
      </c>
    </row>
    <row r="31" spans="1:5" x14ac:dyDescent="0.3">
      <c r="A31" s="2">
        <v>46021</v>
      </c>
      <c r="E31" s="3">
        <f>Tabela6[[#This Row],[Produção 1° T]]+Tabela6[[#This Row],[Produção 2° T]]</f>
        <v>0</v>
      </c>
    </row>
    <row r="32" spans="1:5" x14ac:dyDescent="0.3">
      <c r="A32" s="2">
        <v>46022</v>
      </c>
      <c r="E32" s="3">
        <f>Tabela6[[#This Row],[Produção 1° T]]+Tabela6[[#This Row],[Produção 2° T]]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19862-2919-4926-821F-4067DCD951AB}">
  <dimension ref="B2:C5"/>
  <sheetViews>
    <sheetView showGridLines="0" workbookViewId="0">
      <selection activeCell="C5" sqref="C5"/>
    </sheetView>
  </sheetViews>
  <sheetFormatPr defaultRowHeight="14.4" x14ac:dyDescent="0.3"/>
  <cols>
    <col min="1" max="1" width="2" customWidth="1"/>
    <col min="2" max="2" width="23.33203125" customWidth="1"/>
    <col min="3" max="3" width="23.6640625" customWidth="1"/>
  </cols>
  <sheetData>
    <row r="2" spans="2:3" ht="30" customHeight="1" x14ac:dyDescent="0.3">
      <c r="B2" s="10" t="s">
        <v>68</v>
      </c>
      <c r="C2" s="10" t="s">
        <v>69</v>
      </c>
    </row>
    <row r="3" spans="2:3" x14ac:dyDescent="0.3">
      <c r="B3" s="3" t="s">
        <v>70</v>
      </c>
      <c r="C3" s="3">
        <v>300</v>
      </c>
    </row>
    <row r="4" spans="2:3" x14ac:dyDescent="0.3">
      <c r="B4" s="3" t="s">
        <v>71</v>
      </c>
      <c r="C4" s="3">
        <v>350</v>
      </c>
    </row>
    <row r="5" spans="2:3" x14ac:dyDescent="0.3">
      <c r="B5" s="3" t="s">
        <v>72</v>
      </c>
      <c r="C5" s="3">
        <v>380</v>
      </c>
    </row>
  </sheetData>
  <sheetProtection insertColumns="0" deleteColumns="0" deleteRows="0" selectLockedCells="1" selectUnlockedCells="1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2AEB4-73ED-46DE-A2A0-289AB0900F68}">
  <dimension ref="D4:H8"/>
  <sheetViews>
    <sheetView workbookViewId="0">
      <selection activeCell="F4" sqref="F4:F8"/>
    </sheetView>
  </sheetViews>
  <sheetFormatPr defaultRowHeight="14.4" x14ac:dyDescent="0.3"/>
  <cols>
    <col min="1" max="1" width="17" bestFit="1" customWidth="1"/>
    <col min="4" max="4" width="24.109375" bestFit="1" customWidth="1"/>
    <col min="6" max="6" width="18.88671875" bestFit="1" customWidth="1"/>
    <col min="8" max="8" width="16.88671875" bestFit="1" customWidth="1"/>
  </cols>
  <sheetData>
    <row r="4" spans="4:8" x14ac:dyDescent="0.3">
      <c r="D4" s="6" t="s">
        <v>13</v>
      </c>
      <c r="F4" s="6" t="s">
        <v>11</v>
      </c>
      <c r="H4" s="6" t="s">
        <v>14</v>
      </c>
    </row>
    <row r="5" spans="4:8" x14ac:dyDescent="0.3">
      <c r="D5" s="6" t="s">
        <v>20</v>
      </c>
      <c r="F5" s="6" t="s">
        <v>19</v>
      </c>
      <c r="H5" s="6" t="s">
        <v>21</v>
      </c>
    </row>
    <row r="6" spans="4:8" x14ac:dyDescent="0.3">
      <c r="D6" s="6" t="s">
        <v>24</v>
      </c>
      <c r="F6" s="6" t="s">
        <v>26</v>
      </c>
      <c r="H6" s="6" t="s">
        <v>29</v>
      </c>
    </row>
    <row r="7" spans="4:8" x14ac:dyDescent="0.3">
      <c r="F7" s="6" t="s">
        <v>27</v>
      </c>
    </row>
    <row r="8" spans="4:8" x14ac:dyDescent="0.3">
      <c r="F8" s="6" t="s">
        <v>28</v>
      </c>
    </row>
  </sheetData>
  <sheetProtection algorithmName="SHA-512" hashValue="pJQLzveDwm1DtxPMb56zihbHjb29kmsvT3u3epR2hukyvFT6YROboFF+BL9jax2r9pRez1NnLVDrcQ9SaS3OQw==" saltValue="oqy1k7PX87ox+xa+1HYxKQ==" spinCount="100000" sheet="1" objects="1" scenarios="1" formatCells="0" formatColumns="0" formatRows="0" insertColumns="0" insertRows="0" insertHyperlinks="0" deleteColumns="0" deleteRows="0" sort="0" autoFilter="0" pivotTables="0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AE387-EE7C-482B-856D-3B150A346D14}">
  <dimension ref="A1:K139"/>
  <sheetViews>
    <sheetView topLeftCell="B1" zoomScale="90" zoomScaleNormal="90" workbookViewId="0">
      <selection activeCell="L5" sqref="L5"/>
    </sheetView>
  </sheetViews>
  <sheetFormatPr defaultRowHeight="14.4" x14ac:dyDescent="0.3"/>
  <cols>
    <col min="1" max="1" width="15.5546875" style="1" bestFit="1" customWidth="1"/>
    <col min="2" max="2" width="15.5546875" customWidth="1"/>
    <col min="3" max="3" width="13.5546875" bestFit="1" customWidth="1"/>
    <col min="4" max="4" width="15.5546875" bestFit="1" customWidth="1"/>
    <col min="5" max="5" width="14" bestFit="1" customWidth="1"/>
    <col min="6" max="6" width="14.5546875" bestFit="1" customWidth="1"/>
    <col min="7" max="8" width="24.109375" bestFit="1" customWidth="1"/>
    <col min="9" max="9" width="20.44140625" bestFit="1" customWidth="1"/>
    <col min="10" max="10" width="49.44140625" bestFit="1" customWidth="1"/>
    <col min="11" max="11" width="21.6640625" bestFit="1" customWidth="1"/>
    <col min="12" max="12" width="15.33203125" bestFit="1" customWidth="1"/>
  </cols>
  <sheetData>
    <row r="1" spans="1:11" ht="15.6" x14ac:dyDescent="0.3">
      <c r="A1" s="14" t="s">
        <v>109</v>
      </c>
      <c r="B1" s="16" t="s">
        <v>12</v>
      </c>
      <c r="C1" s="14" t="s">
        <v>9</v>
      </c>
      <c r="D1" s="15" t="s">
        <v>80</v>
      </c>
      <c r="E1" s="15" t="s">
        <v>10</v>
      </c>
      <c r="F1" s="15" t="s">
        <v>17</v>
      </c>
      <c r="G1" s="16" t="s">
        <v>79</v>
      </c>
      <c r="H1" s="16" t="s">
        <v>13</v>
      </c>
      <c r="I1" s="16" t="s">
        <v>87</v>
      </c>
      <c r="J1" s="16" t="s">
        <v>15</v>
      </c>
      <c r="K1" s="16" t="s">
        <v>100</v>
      </c>
    </row>
    <row r="2" spans="1:11" x14ac:dyDescent="0.3">
      <c r="A2" s="2">
        <v>46010</v>
      </c>
      <c r="B2" s="3" t="s">
        <v>73</v>
      </c>
      <c r="C2" s="2">
        <v>46010</v>
      </c>
      <c r="D2" s="2">
        <v>46010</v>
      </c>
      <c r="E2" s="7">
        <v>0.37222222222222223</v>
      </c>
      <c r="F2" s="7">
        <v>0.38750000000000001</v>
      </c>
      <c r="G2" s="3" t="s">
        <v>99</v>
      </c>
      <c r="H2" s="3" t="s">
        <v>191</v>
      </c>
      <c r="I2" s="3" t="s">
        <v>167</v>
      </c>
      <c r="J2" s="3" t="s">
        <v>102</v>
      </c>
      <c r="K2" s="17">
        <f>IFERROR(IF(Paradas[[#This Row],[Hora Fim]]="","",(Paradas[[#This Row],[Data fim]]+Paradas[[#This Row],[Hora Fim]])-(Paradas[[#This Row],[Data Início]]+Paradas[[#This Row],[Hora Início]])),"Data Fim errada")</f>
        <v>1.5277777776645962E-2</v>
      </c>
    </row>
    <row r="3" spans="1:11" x14ac:dyDescent="0.3">
      <c r="A3" s="2">
        <v>46010</v>
      </c>
      <c r="B3" s="3" t="s">
        <v>73</v>
      </c>
      <c r="C3" s="2">
        <v>46010</v>
      </c>
      <c r="D3" s="2">
        <v>46010</v>
      </c>
      <c r="E3" s="7">
        <v>0.3972222222222222</v>
      </c>
      <c r="F3" s="7">
        <v>0.54652777777777772</v>
      </c>
      <c r="G3" s="3" t="s">
        <v>82</v>
      </c>
      <c r="H3" s="3" t="s">
        <v>190</v>
      </c>
      <c r="I3" s="3" t="s">
        <v>91</v>
      </c>
      <c r="J3" s="3" t="s">
        <v>103</v>
      </c>
      <c r="K3" s="17">
        <f>IFERROR(IF(Paradas[[#This Row],[Hora Fim]]="","",(Paradas[[#This Row],[Data fim]]+Paradas[[#This Row],[Hora Fim]])-(Paradas[[#This Row],[Data Início]]+Paradas[[#This Row],[Hora Início]])),"Data Fim errada")</f>
        <v>0.14930555555474712</v>
      </c>
    </row>
    <row r="4" spans="1:11" x14ac:dyDescent="0.3">
      <c r="A4" s="2">
        <v>46010</v>
      </c>
      <c r="B4" s="3" t="s">
        <v>73</v>
      </c>
      <c r="C4" s="2">
        <v>46010</v>
      </c>
      <c r="D4" s="2">
        <v>46010</v>
      </c>
      <c r="E4" s="7">
        <v>0.57638888888888884</v>
      </c>
      <c r="F4" s="7">
        <v>0.59513888888888888</v>
      </c>
      <c r="G4" s="3" t="s">
        <v>83</v>
      </c>
      <c r="H4" s="3" t="s">
        <v>191</v>
      </c>
      <c r="I4" s="3" t="s">
        <v>89</v>
      </c>
      <c r="J4" s="3"/>
      <c r="K4" s="17">
        <f>IFERROR(IF(Paradas[[#This Row],[Hora Fim]]="","",(Paradas[[#This Row],[Data fim]]+Paradas[[#This Row],[Hora Fim]])-(Paradas[[#This Row],[Data Início]]+Paradas[[#This Row],[Hora Início]])),"Data Fim errada")</f>
        <v>1.8749999995634425E-2</v>
      </c>
    </row>
    <row r="5" spans="1:11" x14ac:dyDescent="0.3">
      <c r="A5" s="2">
        <v>46010</v>
      </c>
      <c r="B5" s="3" t="s">
        <v>73</v>
      </c>
      <c r="C5" s="2">
        <v>46010</v>
      </c>
      <c r="D5" s="2">
        <v>46010</v>
      </c>
      <c r="E5" s="7">
        <v>0.65833333333333333</v>
      </c>
      <c r="F5" s="7">
        <v>0.66527777777777775</v>
      </c>
      <c r="G5" s="3" t="s">
        <v>84</v>
      </c>
      <c r="H5" s="3" t="s">
        <v>191</v>
      </c>
      <c r="I5" s="3" t="s">
        <v>89</v>
      </c>
      <c r="J5" s="3"/>
      <c r="K5" s="17">
        <f>IFERROR(IF(Paradas[[#This Row],[Hora Fim]]="","",(Paradas[[#This Row],[Data fim]]+Paradas[[#This Row],[Hora Fim]])-(Paradas[[#This Row],[Data Início]]+Paradas[[#This Row],[Hora Início]])),"Data Fim errada")</f>
        <v>6.9444444452528842E-3</v>
      </c>
    </row>
    <row r="6" spans="1:11" x14ac:dyDescent="0.3">
      <c r="A6" s="2">
        <v>46010</v>
      </c>
      <c r="B6" s="3" t="s">
        <v>73</v>
      </c>
      <c r="C6" s="2">
        <v>46010</v>
      </c>
      <c r="D6" s="2">
        <v>46010</v>
      </c>
      <c r="E6" s="7">
        <v>0.78333333333333333</v>
      </c>
      <c r="F6" s="7">
        <v>0.79027777777777775</v>
      </c>
      <c r="G6" s="3" t="s">
        <v>81</v>
      </c>
      <c r="H6" s="3" t="s">
        <v>191</v>
      </c>
      <c r="I6" s="3" t="s">
        <v>104</v>
      </c>
      <c r="J6" s="3" t="s">
        <v>105</v>
      </c>
      <c r="K6" s="17">
        <f>IFERROR(IF(Paradas[[#This Row],[Hora Fim]]="","",(Paradas[[#This Row],[Data fim]]+Paradas[[#This Row],[Hora Fim]])-(Paradas[[#This Row],[Data Início]]+Paradas[[#This Row],[Hora Início]])),"Data Fim errada")</f>
        <v>6.9444444452528842E-3</v>
      </c>
    </row>
    <row r="7" spans="1:11" x14ac:dyDescent="0.3">
      <c r="A7" s="2">
        <v>46010</v>
      </c>
      <c r="B7" s="3" t="s">
        <v>73</v>
      </c>
      <c r="C7" s="2">
        <v>46010</v>
      </c>
      <c r="D7" s="2">
        <v>46010</v>
      </c>
      <c r="E7" s="7">
        <v>0.77638888888888891</v>
      </c>
      <c r="F7" s="7">
        <v>0.78333333333333333</v>
      </c>
      <c r="G7" s="3" t="s">
        <v>82</v>
      </c>
      <c r="H7" s="3" t="s">
        <v>191</v>
      </c>
      <c r="I7" s="3" t="s">
        <v>104</v>
      </c>
      <c r="J7" s="3" t="s">
        <v>105</v>
      </c>
      <c r="K7" s="17">
        <f>IFERROR(IF(Paradas[[#This Row],[Hora Fim]]="","",(Paradas[[#This Row],[Data fim]]+Paradas[[#This Row],[Hora Fim]])-(Paradas[[#This Row],[Data Início]]+Paradas[[#This Row],[Hora Início]])),"Data Fim errada")</f>
        <v>6.9444444452528842E-3</v>
      </c>
    </row>
    <row r="8" spans="1:11" x14ac:dyDescent="0.3">
      <c r="A8" s="2">
        <v>46012</v>
      </c>
      <c r="B8" s="3" t="s">
        <v>73</v>
      </c>
      <c r="C8" s="2">
        <v>46012</v>
      </c>
      <c r="D8" s="2">
        <v>46012</v>
      </c>
      <c r="E8" s="7">
        <v>0.30069444444444443</v>
      </c>
      <c r="F8" s="7">
        <v>0.3034722222222222</v>
      </c>
      <c r="G8" s="3" t="s">
        <v>81</v>
      </c>
      <c r="H8" s="3" t="s">
        <v>190</v>
      </c>
      <c r="I8" s="3" t="s">
        <v>90</v>
      </c>
      <c r="J8" s="3"/>
      <c r="K8" s="17">
        <f>IFERROR(IF(Paradas[[#This Row],[Hora Fim]]="","",(Paradas[[#This Row],[Data fim]]+Paradas[[#This Row],[Hora Fim]])-(Paradas[[#This Row],[Data Início]]+Paradas[[#This Row],[Hora Início]])),"Data Fim errada")</f>
        <v>2.7777777795563452E-3</v>
      </c>
    </row>
    <row r="9" spans="1:11" x14ac:dyDescent="0.3">
      <c r="A9" s="2">
        <v>46012</v>
      </c>
      <c r="B9" s="3" t="s">
        <v>73</v>
      </c>
      <c r="C9" s="2">
        <v>46012</v>
      </c>
      <c r="D9" s="2">
        <v>46012</v>
      </c>
      <c r="E9" s="7">
        <v>0.34444444444444444</v>
      </c>
      <c r="F9" s="7">
        <v>0.36875000000000002</v>
      </c>
      <c r="G9" s="3" t="s">
        <v>81</v>
      </c>
      <c r="H9" s="3" t="s">
        <v>190</v>
      </c>
      <c r="I9" s="3" t="s">
        <v>91</v>
      </c>
      <c r="J9" s="3" t="s">
        <v>106</v>
      </c>
      <c r="K9" s="17">
        <f>IFERROR(IF(Paradas[[#This Row],[Hora Fim]]="","",(Paradas[[#This Row],[Data fim]]+Paradas[[#This Row],[Hora Fim]])-(Paradas[[#This Row],[Data Início]]+Paradas[[#This Row],[Hora Início]])),"Data Fim errada")</f>
        <v>2.4305555554747116E-2</v>
      </c>
    </row>
    <row r="10" spans="1:11" x14ac:dyDescent="0.3">
      <c r="A10" s="2">
        <v>46012</v>
      </c>
      <c r="B10" s="3" t="s">
        <v>73</v>
      </c>
      <c r="C10" s="2">
        <v>46012</v>
      </c>
      <c r="D10" s="2">
        <v>46012</v>
      </c>
      <c r="E10" s="7">
        <v>0.40138888888888891</v>
      </c>
      <c r="F10" s="7">
        <v>0.4201388888888889</v>
      </c>
      <c r="G10" s="3" t="s">
        <v>81</v>
      </c>
      <c r="H10" s="3" t="s">
        <v>191</v>
      </c>
      <c r="I10" s="3" t="s">
        <v>104</v>
      </c>
      <c r="J10" s="3" t="s">
        <v>107</v>
      </c>
      <c r="K10" s="17">
        <f>IFERROR(IF(Paradas[[#This Row],[Hora Fim]]="","",(Paradas[[#This Row],[Data fim]]+Paradas[[#This Row],[Hora Fim]])-(Paradas[[#This Row],[Data Início]]+Paradas[[#This Row],[Hora Início]])),"Data Fim errada")</f>
        <v>1.8750000002910383E-2</v>
      </c>
    </row>
    <row r="11" spans="1:11" x14ac:dyDescent="0.3">
      <c r="A11" s="2">
        <v>46012</v>
      </c>
      <c r="B11" s="3" t="s">
        <v>73</v>
      </c>
      <c r="C11" s="2">
        <v>46012</v>
      </c>
      <c r="D11" s="2">
        <v>46012</v>
      </c>
      <c r="E11" s="7">
        <v>0.53819444444444442</v>
      </c>
      <c r="F11" s="7">
        <v>0.56388888888888888</v>
      </c>
      <c r="G11" s="3" t="s">
        <v>84</v>
      </c>
      <c r="H11" s="3" t="s">
        <v>191</v>
      </c>
      <c r="I11" s="3" t="s">
        <v>89</v>
      </c>
      <c r="J11" s="3"/>
      <c r="K11" s="17">
        <f>IFERROR(IF(Paradas[[#This Row],[Hora Fim]]="","",(Paradas[[#This Row],[Data fim]]+Paradas[[#This Row],[Hora Fim]])-(Paradas[[#This Row],[Data Início]]+Paradas[[#This Row],[Hora Início]])),"Data Fim errada")</f>
        <v>2.569444444088731E-2</v>
      </c>
    </row>
    <row r="12" spans="1:11" x14ac:dyDescent="0.3">
      <c r="A12" s="2">
        <v>46012</v>
      </c>
      <c r="B12" s="3" t="s">
        <v>73</v>
      </c>
      <c r="C12" s="2">
        <v>46012</v>
      </c>
      <c r="D12" s="2">
        <v>46012</v>
      </c>
      <c r="E12" s="7">
        <v>0.68819444444444444</v>
      </c>
      <c r="F12" s="7">
        <v>0.70138888888888884</v>
      </c>
      <c r="G12" s="3" t="s">
        <v>83</v>
      </c>
      <c r="H12" s="3" t="s">
        <v>191</v>
      </c>
      <c r="I12" s="3" t="s">
        <v>88</v>
      </c>
      <c r="J12" s="3" t="s">
        <v>108</v>
      </c>
      <c r="K12" s="17">
        <f>IFERROR(IF(Paradas[[#This Row],[Hora Fim]]="","",(Paradas[[#This Row],[Data fim]]+Paradas[[#This Row],[Hora Fim]])-(Paradas[[#This Row],[Data Início]]+Paradas[[#This Row],[Hora Início]])),"Data Fim errada")</f>
        <v>1.3194444443797693E-2</v>
      </c>
    </row>
    <row r="13" spans="1:11" x14ac:dyDescent="0.3">
      <c r="A13" s="2">
        <v>46012</v>
      </c>
      <c r="B13" s="3" t="s">
        <v>74</v>
      </c>
      <c r="C13" s="2">
        <v>46012</v>
      </c>
      <c r="D13" s="2">
        <v>46012</v>
      </c>
      <c r="E13" s="7">
        <v>0.80763888888888891</v>
      </c>
      <c r="F13" s="7">
        <v>0.82916666666666672</v>
      </c>
      <c r="G13" s="3" t="s">
        <v>81</v>
      </c>
      <c r="H13" s="3" t="s">
        <v>191</v>
      </c>
      <c r="I13" s="3" t="s">
        <v>104</v>
      </c>
      <c r="J13" s="3" t="s">
        <v>107</v>
      </c>
      <c r="K13" s="17">
        <f>IFERROR(IF(Paradas[[#This Row],[Hora Fim]]="","",(Paradas[[#This Row],[Data fim]]+Paradas[[#This Row],[Hora Fim]])-(Paradas[[#This Row],[Data Início]]+Paradas[[#This Row],[Hora Início]])),"Data Fim errada")</f>
        <v>2.1527777782466728E-2</v>
      </c>
    </row>
    <row r="14" spans="1:11" x14ac:dyDescent="0.3">
      <c r="A14" s="2">
        <v>46012</v>
      </c>
      <c r="B14" s="2" t="s">
        <v>74</v>
      </c>
      <c r="C14" s="2">
        <v>46013</v>
      </c>
      <c r="D14" s="2">
        <v>46013</v>
      </c>
      <c r="E14" s="7">
        <v>0.14930555555555555</v>
      </c>
      <c r="F14" s="7">
        <v>0.15833333333333333</v>
      </c>
      <c r="G14" s="3" t="s">
        <v>84</v>
      </c>
      <c r="H14" s="3" t="s">
        <v>191</v>
      </c>
      <c r="I14" s="3" t="s">
        <v>104</v>
      </c>
      <c r="J14" s="3" t="s">
        <v>107</v>
      </c>
      <c r="K14" s="17">
        <f>IFERROR(IF(Paradas[[#This Row],[Hora Fim]]="","",(Paradas[[#This Row],[Data fim]]+Paradas[[#This Row],[Hora Fim]])-(Paradas[[#This Row],[Data Início]]+Paradas[[#This Row],[Hora Início]])),"Data Fim errada")</f>
        <v>9.0277777781011537E-3</v>
      </c>
    </row>
    <row r="15" spans="1:11" x14ac:dyDescent="0.3">
      <c r="A15" s="2">
        <v>46012</v>
      </c>
      <c r="B15" s="3" t="s">
        <v>74</v>
      </c>
      <c r="C15" s="2">
        <v>46013</v>
      </c>
      <c r="D15" s="2">
        <v>46013</v>
      </c>
      <c r="E15" s="7">
        <v>0.19722222222222222</v>
      </c>
      <c r="F15" s="7">
        <v>0.21944444444444444</v>
      </c>
      <c r="G15" s="3" t="s">
        <v>81</v>
      </c>
      <c r="H15" s="3" t="s">
        <v>191</v>
      </c>
      <c r="I15" s="3" t="s">
        <v>104</v>
      </c>
      <c r="J15" s="3" t="s">
        <v>107</v>
      </c>
      <c r="K15" s="17">
        <f>IFERROR(IF(Paradas[[#This Row],[Hora Fim]]="","",(Paradas[[#This Row],[Data fim]]+Paradas[[#This Row],[Hora Fim]])-(Paradas[[#This Row],[Data Início]]+Paradas[[#This Row],[Hora Início]])),"Data Fim errada")</f>
        <v>2.2222222221898846E-2</v>
      </c>
    </row>
    <row r="16" spans="1:11" x14ac:dyDescent="0.3">
      <c r="A16" s="2">
        <v>46010</v>
      </c>
      <c r="B16" s="2" t="s">
        <v>74</v>
      </c>
      <c r="C16" s="2">
        <v>46010</v>
      </c>
      <c r="D16" s="2">
        <v>46010</v>
      </c>
      <c r="E16" s="7">
        <v>0.92361111111111116</v>
      </c>
      <c r="F16" s="7">
        <v>0.92500000000000004</v>
      </c>
      <c r="G16" s="3" t="s">
        <v>82</v>
      </c>
      <c r="H16" s="3" t="s">
        <v>190</v>
      </c>
      <c r="I16" s="3" t="s">
        <v>91</v>
      </c>
      <c r="J16" s="3" t="s">
        <v>110</v>
      </c>
      <c r="K16" s="17">
        <f>IFERROR(IF(Paradas[[#This Row],[Hora Fim]]="","",(Paradas[[#This Row],[Data fim]]+Paradas[[#This Row],[Hora Fim]])-(Paradas[[#This Row],[Data Início]]+Paradas[[#This Row],[Hora Início]])),"Data Fim errada")</f>
        <v>1.3888888934161514E-3</v>
      </c>
    </row>
    <row r="17" spans="1:11" x14ac:dyDescent="0.3">
      <c r="A17" s="2">
        <v>46010</v>
      </c>
      <c r="B17" s="2" t="s">
        <v>74</v>
      </c>
      <c r="C17" s="2">
        <v>46011</v>
      </c>
      <c r="D17" s="2">
        <v>46011</v>
      </c>
      <c r="E17" s="7">
        <v>9.375E-2</v>
      </c>
      <c r="F17" s="7">
        <v>0.16250000000000001</v>
      </c>
      <c r="G17" s="3" t="s">
        <v>99</v>
      </c>
      <c r="H17" s="3" t="s">
        <v>190</v>
      </c>
      <c r="I17" s="3" t="s">
        <v>91</v>
      </c>
      <c r="J17" s="3" t="s">
        <v>111</v>
      </c>
      <c r="K17" s="17">
        <f>IFERROR(IF(Paradas[[#This Row],[Hora Fim]]="","",(Paradas[[#This Row],[Data fim]]+Paradas[[#This Row],[Hora Fim]])-(Paradas[[#This Row],[Data Início]]+Paradas[[#This Row],[Hora Início]])),"Data Fim errada")</f>
        <v>6.8749999998544808E-2</v>
      </c>
    </row>
    <row r="18" spans="1:11" x14ac:dyDescent="0.3">
      <c r="A18" s="2">
        <v>46010</v>
      </c>
      <c r="B18" s="2" t="s">
        <v>74</v>
      </c>
      <c r="C18" s="2">
        <v>46011</v>
      </c>
      <c r="D18" s="2">
        <v>46011</v>
      </c>
      <c r="E18" s="7">
        <v>0.2590277777777778</v>
      </c>
      <c r="F18" s="7">
        <v>0.27430555555555558</v>
      </c>
      <c r="G18" s="3" t="s">
        <v>83</v>
      </c>
      <c r="H18" s="3" t="s">
        <v>191</v>
      </c>
      <c r="I18" s="3" t="s">
        <v>104</v>
      </c>
      <c r="J18" s="3" t="s">
        <v>113</v>
      </c>
      <c r="K18" s="17">
        <f>IFERROR(IF(Paradas[[#This Row],[Hora Fim]]="","",(Paradas[[#This Row],[Data fim]]+Paradas[[#This Row],[Hora Fim]])-(Paradas[[#This Row],[Data Início]]+Paradas[[#This Row],[Hora Início]])),"Data Fim errada")</f>
        <v>1.5277777776645962E-2</v>
      </c>
    </row>
    <row r="19" spans="1:11" x14ac:dyDescent="0.3">
      <c r="A19" s="2">
        <v>46010</v>
      </c>
      <c r="B19" s="2" t="s">
        <v>74</v>
      </c>
      <c r="C19" s="2">
        <v>46011</v>
      </c>
      <c r="D19" s="2">
        <v>46011</v>
      </c>
      <c r="E19" s="7">
        <v>0.27847222222222223</v>
      </c>
      <c r="F19" s="7">
        <v>0.29305555555555557</v>
      </c>
      <c r="G19" s="3" t="s">
        <v>83</v>
      </c>
      <c r="H19" s="3" t="s">
        <v>191</v>
      </c>
      <c r="I19" s="3" t="s">
        <v>89</v>
      </c>
      <c r="J19" s="3"/>
      <c r="K19" s="17">
        <f>IFERROR(IF(Paradas[[#This Row],[Hora Fim]]="","",(Paradas[[#This Row],[Data fim]]+Paradas[[#This Row],[Hora Fim]])-(Paradas[[#This Row],[Data Início]]+Paradas[[#This Row],[Hora Início]])),"Data Fim errada")</f>
        <v>1.4583333337213844E-2</v>
      </c>
    </row>
    <row r="20" spans="1:11" x14ac:dyDescent="0.3">
      <c r="A20" s="2">
        <v>46011</v>
      </c>
      <c r="B20" s="2" t="s">
        <v>74</v>
      </c>
      <c r="C20" s="2">
        <v>46011</v>
      </c>
      <c r="D20" s="2">
        <v>46012</v>
      </c>
      <c r="E20" s="19">
        <v>0.79166666666666663</v>
      </c>
      <c r="F20" s="19">
        <v>2.5694444444444443E-2</v>
      </c>
      <c r="G20" s="3" t="s">
        <v>83</v>
      </c>
      <c r="H20" s="3" t="s">
        <v>190</v>
      </c>
      <c r="I20" s="3" t="s">
        <v>91</v>
      </c>
      <c r="J20" s="3" t="s">
        <v>114</v>
      </c>
      <c r="K20" s="17">
        <f>IFERROR(IF(Paradas[[#This Row],[Hora Fim]]="","",(Paradas[[#This Row],[Data fim]]+Paradas[[#This Row],[Hora Fim]])-(Paradas[[#This Row],[Data Início]]+Paradas[[#This Row],[Hora Início]])),"Data Fim errada")</f>
        <v>0.23402777777664596</v>
      </c>
    </row>
    <row r="21" spans="1:11" x14ac:dyDescent="0.3">
      <c r="A21" s="2">
        <v>46011</v>
      </c>
      <c r="B21" s="2" t="s">
        <v>74</v>
      </c>
      <c r="C21" s="2">
        <v>46011</v>
      </c>
      <c r="D21" s="2">
        <v>46011</v>
      </c>
      <c r="E21" s="19">
        <v>0.83333333333333337</v>
      </c>
      <c r="F21" s="19">
        <v>0.85416666666666663</v>
      </c>
      <c r="G21" s="3" t="s">
        <v>83</v>
      </c>
      <c r="H21" s="3" t="s">
        <v>191</v>
      </c>
      <c r="I21" s="3" t="s">
        <v>104</v>
      </c>
      <c r="J21" s="3" t="s">
        <v>115</v>
      </c>
      <c r="K21" s="17">
        <f>IFERROR(IF(Paradas[[#This Row],[Hora Fim]]="","",(Paradas[[#This Row],[Data fim]]+Paradas[[#This Row],[Hora Fim]])-(Paradas[[#This Row],[Data Início]]+Paradas[[#This Row],[Hora Início]])),"Data Fim errada")</f>
        <v>2.0833333328482695E-2</v>
      </c>
    </row>
    <row r="22" spans="1:11" x14ac:dyDescent="0.3">
      <c r="A22" s="2">
        <v>46011</v>
      </c>
      <c r="B22" s="2" t="s">
        <v>74</v>
      </c>
      <c r="C22" s="2">
        <v>46011</v>
      </c>
      <c r="D22" s="2">
        <v>46011</v>
      </c>
      <c r="E22" s="7">
        <v>0.79166666666666663</v>
      </c>
      <c r="F22" s="7">
        <v>0.85416666666666663</v>
      </c>
      <c r="G22" s="3" t="s">
        <v>81</v>
      </c>
      <c r="H22" s="3" t="s">
        <v>191</v>
      </c>
      <c r="I22" s="3" t="s">
        <v>104</v>
      </c>
      <c r="J22" s="3" t="s">
        <v>116</v>
      </c>
      <c r="K22" s="17">
        <f>IFERROR(IF(Paradas[[#This Row],[Hora Fim]]="","",(Paradas[[#This Row],[Data fim]]+Paradas[[#This Row],[Hora Fim]])-(Paradas[[#This Row],[Data Início]]+Paradas[[#This Row],[Hora Início]])),"Data Fim errada")</f>
        <v>6.25E-2</v>
      </c>
    </row>
    <row r="23" spans="1:11" x14ac:dyDescent="0.3">
      <c r="A23" s="2">
        <v>46011</v>
      </c>
      <c r="B23" s="2" t="s">
        <v>74</v>
      </c>
      <c r="C23" s="2">
        <v>46011</v>
      </c>
      <c r="D23" s="2">
        <v>46011</v>
      </c>
      <c r="E23" s="7">
        <v>0.85416666666666663</v>
      </c>
      <c r="F23" s="7">
        <v>0.91666666666666663</v>
      </c>
      <c r="G23" s="3" t="s">
        <v>82</v>
      </c>
      <c r="H23" s="3" t="s">
        <v>191</v>
      </c>
      <c r="I23" s="3" t="s">
        <v>104</v>
      </c>
      <c r="J23" s="3" t="s">
        <v>117</v>
      </c>
      <c r="K23" s="17">
        <f>IFERROR(IF(Paradas[[#This Row],[Hora Fim]]="","",(Paradas[[#This Row],[Data fim]]+Paradas[[#This Row],[Hora Fim]])-(Paradas[[#This Row],[Data Início]]+Paradas[[#This Row],[Hora Início]])),"Data Fim errada")</f>
        <v>6.25E-2</v>
      </c>
    </row>
    <row r="24" spans="1:11" x14ac:dyDescent="0.3">
      <c r="A24" s="2">
        <v>46007</v>
      </c>
      <c r="B24" s="2" t="s">
        <v>73</v>
      </c>
      <c r="C24" s="2">
        <v>46007</v>
      </c>
      <c r="D24" s="2">
        <v>46007</v>
      </c>
      <c r="E24" s="19">
        <v>0.62708333333333333</v>
      </c>
      <c r="F24" s="19">
        <v>0.69652777777777775</v>
      </c>
      <c r="G24" s="3" t="s">
        <v>83</v>
      </c>
      <c r="H24" s="3" t="s">
        <v>190</v>
      </c>
      <c r="I24" s="3" t="s">
        <v>91</v>
      </c>
      <c r="J24" s="3" t="s">
        <v>118</v>
      </c>
      <c r="K24" s="17">
        <f>IFERROR(IF(Paradas[[#This Row],[Hora Fim]]="","",(Paradas[[#This Row],[Data fim]]+Paradas[[#This Row],[Hora Fim]])-(Paradas[[#This Row],[Data Início]]+Paradas[[#This Row],[Hora Início]])),"Data Fim errada")</f>
        <v>6.9444444445252884E-2</v>
      </c>
    </row>
    <row r="25" spans="1:11" x14ac:dyDescent="0.3">
      <c r="A25" s="2">
        <v>46007</v>
      </c>
      <c r="B25" s="2" t="s">
        <v>73</v>
      </c>
      <c r="C25" s="2">
        <v>46007</v>
      </c>
      <c r="D25" s="2">
        <v>46007</v>
      </c>
      <c r="E25" s="19">
        <v>0.62708333333333333</v>
      </c>
      <c r="F25" s="19">
        <v>0.69652777777777775</v>
      </c>
      <c r="G25" s="3" t="s">
        <v>81</v>
      </c>
      <c r="H25" s="3" t="s">
        <v>191</v>
      </c>
      <c r="I25" s="3" t="s">
        <v>104</v>
      </c>
      <c r="J25" s="3" t="s">
        <v>119</v>
      </c>
      <c r="K25" s="17">
        <f>IFERROR(IF(Paradas[[#This Row],[Hora Fim]]="","",(Paradas[[#This Row],[Data fim]]+Paradas[[#This Row],[Hora Fim]])-(Paradas[[#This Row],[Data Início]]+Paradas[[#This Row],[Hora Início]])),"Data Fim errada")</f>
        <v>6.9444444445252884E-2</v>
      </c>
    </row>
    <row r="26" spans="1:11" x14ac:dyDescent="0.3">
      <c r="A26" s="2">
        <v>46007</v>
      </c>
      <c r="B26" s="2" t="s">
        <v>73</v>
      </c>
      <c r="C26" s="2">
        <v>46007</v>
      </c>
      <c r="D26" s="2">
        <v>46007</v>
      </c>
      <c r="E26" s="19">
        <v>0.62708333333333333</v>
      </c>
      <c r="F26" s="19">
        <v>0.69652777777777775</v>
      </c>
      <c r="G26" s="3" t="s">
        <v>83</v>
      </c>
      <c r="H26" s="3" t="s">
        <v>191</v>
      </c>
      <c r="I26" s="3" t="s">
        <v>104</v>
      </c>
      <c r="J26" s="3" t="s">
        <v>112</v>
      </c>
      <c r="K26" s="17">
        <f>IFERROR(IF(Paradas[[#This Row],[Hora Fim]]="","",(Paradas[[#This Row],[Data fim]]+Paradas[[#This Row],[Hora Fim]])-(Paradas[[#This Row],[Data Início]]+Paradas[[#This Row],[Hora Início]])),"Data Fim errada")</f>
        <v>6.9444444445252884E-2</v>
      </c>
    </row>
    <row r="27" spans="1:11" x14ac:dyDescent="0.3">
      <c r="A27" s="2">
        <v>46007</v>
      </c>
      <c r="B27" s="2" t="s">
        <v>73</v>
      </c>
      <c r="C27" s="2">
        <v>46007</v>
      </c>
      <c r="D27" s="2">
        <v>46007</v>
      </c>
      <c r="E27" s="19">
        <v>0.62708333333333333</v>
      </c>
      <c r="F27" s="19">
        <v>0.69652777777777775</v>
      </c>
      <c r="G27" s="3" t="s">
        <v>83</v>
      </c>
      <c r="H27" s="3" t="s">
        <v>191</v>
      </c>
      <c r="I27" s="3" t="s">
        <v>89</v>
      </c>
      <c r="J27" s="3"/>
      <c r="K27" s="17">
        <f>IFERROR(IF(Paradas[[#This Row],[Hora Fim]]="","",(Paradas[[#This Row],[Data fim]]+Paradas[[#This Row],[Hora Fim]])-(Paradas[[#This Row],[Data Início]]+Paradas[[#This Row],[Hora Início]])),"Data Fim errada")</f>
        <v>6.9444444445252884E-2</v>
      </c>
    </row>
    <row r="28" spans="1:11" x14ac:dyDescent="0.3">
      <c r="A28" s="2">
        <v>46007</v>
      </c>
      <c r="B28" s="2" t="s">
        <v>74</v>
      </c>
      <c r="C28" s="2">
        <v>46007</v>
      </c>
      <c r="D28" s="2">
        <v>46007</v>
      </c>
      <c r="E28" s="19">
        <v>0.79166666666666663</v>
      </c>
      <c r="F28" s="19">
        <v>0.9604166666666667</v>
      </c>
      <c r="G28" s="3" t="s">
        <v>81</v>
      </c>
      <c r="H28" s="3" t="s">
        <v>190</v>
      </c>
      <c r="I28" s="3" t="s">
        <v>91</v>
      </c>
      <c r="J28" s="3" t="s">
        <v>120</v>
      </c>
      <c r="K28" s="17">
        <f>IFERROR(IF(Paradas[[#This Row],[Hora Fim]]="","",(Paradas[[#This Row],[Data fim]]+Paradas[[#This Row],[Hora Fim]])-(Paradas[[#This Row],[Data Início]]+Paradas[[#This Row],[Hora Início]])),"Data Fim errada")</f>
        <v>0.16875000000436557</v>
      </c>
    </row>
    <row r="29" spans="1:11" x14ac:dyDescent="0.3">
      <c r="A29" s="2">
        <v>46007</v>
      </c>
      <c r="B29" s="2" t="s">
        <v>74</v>
      </c>
      <c r="C29" s="2">
        <v>46007</v>
      </c>
      <c r="D29" s="2">
        <v>46007</v>
      </c>
      <c r="E29" s="19">
        <v>0.79166666666666663</v>
      </c>
      <c r="F29" s="19">
        <v>0.9604166666666667</v>
      </c>
      <c r="G29" s="3" t="s">
        <v>84</v>
      </c>
      <c r="H29" s="3" t="s">
        <v>191</v>
      </c>
      <c r="I29" s="3" t="s">
        <v>89</v>
      </c>
      <c r="J29" s="3"/>
      <c r="K29" s="17">
        <f>IFERROR(IF(Paradas[[#This Row],[Hora Fim]]="","",(Paradas[[#This Row],[Data fim]]+Paradas[[#This Row],[Hora Fim]])-(Paradas[[#This Row],[Data Início]]+Paradas[[#This Row],[Hora Início]])),"Data Fim errada")</f>
        <v>0.16875000000436557</v>
      </c>
    </row>
    <row r="30" spans="1:11" x14ac:dyDescent="0.3">
      <c r="A30" s="2">
        <v>46007</v>
      </c>
      <c r="B30" s="2" t="s">
        <v>74</v>
      </c>
      <c r="C30" s="2">
        <v>46007</v>
      </c>
      <c r="D30" s="2">
        <v>46007</v>
      </c>
      <c r="E30" s="19">
        <v>0.79166666666666663</v>
      </c>
      <c r="F30" s="19">
        <v>0.9604166666666667</v>
      </c>
      <c r="G30" s="3" t="s">
        <v>84</v>
      </c>
      <c r="H30" s="3" t="s">
        <v>191</v>
      </c>
      <c r="I30" s="3" t="s">
        <v>104</v>
      </c>
      <c r="J30" s="3" t="s">
        <v>121</v>
      </c>
      <c r="K30" s="17">
        <f>IFERROR(IF(Paradas[[#This Row],[Hora Fim]]="","",(Paradas[[#This Row],[Data fim]]+Paradas[[#This Row],[Hora Fim]])-(Paradas[[#This Row],[Data Início]]+Paradas[[#This Row],[Hora Início]])),"Data Fim errada")</f>
        <v>0.16875000000436557</v>
      </c>
    </row>
    <row r="31" spans="1:11" x14ac:dyDescent="0.3">
      <c r="A31" s="2">
        <v>46007</v>
      </c>
      <c r="B31" s="2" t="s">
        <v>74</v>
      </c>
      <c r="C31" s="2">
        <v>46008</v>
      </c>
      <c r="D31" s="2">
        <v>46008</v>
      </c>
      <c r="E31" s="7">
        <v>2.9166666666666667E-2</v>
      </c>
      <c r="F31" s="7">
        <v>4.583333333333333E-2</v>
      </c>
      <c r="G31" s="3" t="s">
        <v>84</v>
      </c>
      <c r="H31" s="3" t="s">
        <v>191</v>
      </c>
      <c r="I31" s="3" t="s">
        <v>96</v>
      </c>
      <c r="J31" s="3" t="s">
        <v>122</v>
      </c>
      <c r="K31" s="17">
        <f>IFERROR(IF(Paradas[[#This Row],[Hora Fim]]="","",(Paradas[[#This Row],[Data fim]]+Paradas[[#This Row],[Hora Fim]])-(Paradas[[#This Row],[Data Início]]+Paradas[[#This Row],[Hora Início]])),"Data Fim errada")</f>
        <v>1.6666666662786156E-2</v>
      </c>
    </row>
    <row r="32" spans="1:11" x14ac:dyDescent="0.3">
      <c r="A32" s="2">
        <v>46007</v>
      </c>
      <c r="B32" s="2" t="s">
        <v>74</v>
      </c>
      <c r="C32" s="2">
        <v>46008</v>
      </c>
      <c r="D32" s="2">
        <v>46008</v>
      </c>
      <c r="E32" s="19">
        <v>0.14166666666666666</v>
      </c>
      <c r="F32" s="19">
        <v>0.23472222222222222</v>
      </c>
      <c r="G32" s="3" t="s">
        <v>81</v>
      </c>
      <c r="H32" s="3" t="s">
        <v>191</v>
      </c>
      <c r="I32" s="3" t="s">
        <v>89</v>
      </c>
      <c r="J32" s="3" t="s">
        <v>123</v>
      </c>
      <c r="K32" s="17">
        <f>IFERROR(IF(Paradas[[#This Row],[Hora Fim]]="","",(Paradas[[#This Row],[Data fim]]+Paradas[[#This Row],[Hora Fim]])-(Paradas[[#This Row],[Data Início]]+Paradas[[#This Row],[Hora Início]])),"Data Fim errada")</f>
        <v>9.3055555553291924E-2</v>
      </c>
    </row>
    <row r="33" spans="1:11" x14ac:dyDescent="0.3">
      <c r="A33" s="2">
        <v>46007</v>
      </c>
      <c r="B33" s="2" t="s">
        <v>74</v>
      </c>
      <c r="C33" s="2">
        <v>46008</v>
      </c>
      <c r="D33" s="2">
        <v>46008</v>
      </c>
      <c r="E33" s="19">
        <v>0.14166666666666666</v>
      </c>
      <c r="F33" s="19">
        <v>0.23472222222222222</v>
      </c>
      <c r="G33" s="3" t="s">
        <v>81</v>
      </c>
      <c r="H33" s="3" t="s">
        <v>191</v>
      </c>
      <c r="I33" s="3" t="s">
        <v>104</v>
      </c>
      <c r="J33" s="3" t="s">
        <v>124</v>
      </c>
      <c r="K33" s="17">
        <f>IFERROR(IF(Paradas[[#This Row],[Hora Fim]]="","",(Paradas[[#This Row],[Data fim]]+Paradas[[#This Row],[Hora Fim]])-(Paradas[[#This Row],[Data Início]]+Paradas[[#This Row],[Hora Início]])),"Data Fim errada")</f>
        <v>9.3055555553291924E-2</v>
      </c>
    </row>
    <row r="34" spans="1:11" x14ac:dyDescent="0.3">
      <c r="A34" s="2">
        <v>46006</v>
      </c>
      <c r="B34" s="2" t="s">
        <v>73</v>
      </c>
      <c r="C34" s="2">
        <v>46006</v>
      </c>
      <c r="D34" s="2">
        <v>46006</v>
      </c>
      <c r="E34" s="19">
        <v>0.32291666666666669</v>
      </c>
      <c r="F34" s="19">
        <v>0.33888888888888891</v>
      </c>
      <c r="G34" s="3" t="s">
        <v>83</v>
      </c>
      <c r="H34" s="3" t="s">
        <v>191</v>
      </c>
      <c r="I34" s="3" t="s">
        <v>167</v>
      </c>
      <c r="J34" s="3" t="s">
        <v>125</v>
      </c>
      <c r="K34" s="17">
        <f>IFERROR(IF(Paradas[[#This Row],[Hora Fim]]="","",(Paradas[[#This Row],[Data fim]]+Paradas[[#This Row],[Hora Fim]])-(Paradas[[#This Row],[Data Início]]+Paradas[[#This Row],[Hora Início]])),"Data Fim errada")</f>
        <v>1.5972222223354038E-2</v>
      </c>
    </row>
    <row r="35" spans="1:11" x14ac:dyDescent="0.3">
      <c r="A35" s="2">
        <v>46006</v>
      </c>
      <c r="B35" s="2" t="s">
        <v>73</v>
      </c>
      <c r="C35" s="2">
        <v>46006</v>
      </c>
      <c r="D35" s="2">
        <v>46006</v>
      </c>
      <c r="E35" s="19">
        <v>0.32291666666666669</v>
      </c>
      <c r="F35" s="19">
        <v>0.33888888888888891</v>
      </c>
      <c r="G35" s="3" t="s">
        <v>81</v>
      </c>
      <c r="H35" s="3" t="s">
        <v>191</v>
      </c>
      <c r="I35" s="3" t="s">
        <v>104</v>
      </c>
      <c r="J35" s="3" t="s">
        <v>126</v>
      </c>
      <c r="K35" s="17">
        <f>IFERROR(IF(Paradas[[#This Row],[Hora Fim]]="","",(Paradas[[#This Row],[Data fim]]+Paradas[[#This Row],[Hora Fim]])-(Paradas[[#This Row],[Data Início]]+Paradas[[#This Row],[Hora Início]])),"Data Fim errada")</f>
        <v>1.5972222223354038E-2</v>
      </c>
    </row>
    <row r="36" spans="1:11" x14ac:dyDescent="0.3">
      <c r="A36" s="2">
        <v>46006</v>
      </c>
      <c r="B36" s="2" t="s">
        <v>74</v>
      </c>
      <c r="C36" s="2">
        <v>46006</v>
      </c>
      <c r="D36" s="2">
        <v>46006</v>
      </c>
      <c r="E36" s="7">
        <v>0.79166666666666663</v>
      </c>
      <c r="F36" s="7">
        <v>0.8125</v>
      </c>
      <c r="G36" s="3" t="s">
        <v>192</v>
      </c>
      <c r="H36" s="3" t="s">
        <v>101</v>
      </c>
      <c r="I36" s="3" t="s">
        <v>94</v>
      </c>
      <c r="J36" s="3" t="s">
        <v>127</v>
      </c>
      <c r="K36" s="17">
        <f>IFERROR(IF(Paradas[[#This Row],[Hora Fim]]="","",(Paradas[[#This Row],[Data fim]]+Paradas[[#This Row],[Hora Fim]])-(Paradas[[#This Row],[Data Início]]+Paradas[[#This Row],[Hora Início]])),"Data Fim errada")</f>
        <v>2.0833333335758653E-2</v>
      </c>
    </row>
    <row r="37" spans="1:11" x14ac:dyDescent="0.3">
      <c r="A37" s="2">
        <v>46006</v>
      </c>
      <c r="B37" s="2" t="s">
        <v>74</v>
      </c>
      <c r="C37" s="2">
        <v>46006</v>
      </c>
      <c r="D37" s="2">
        <v>46006</v>
      </c>
      <c r="E37" s="7">
        <v>0.82291666666666663</v>
      </c>
      <c r="F37" s="7">
        <v>0.8666666666666667</v>
      </c>
      <c r="G37" s="3" t="s">
        <v>84</v>
      </c>
      <c r="H37" s="3" t="s">
        <v>191</v>
      </c>
      <c r="I37" s="3" t="s">
        <v>89</v>
      </c>
      <c r="J37" s="3"/>
      <c r="K37" s="17">
        <f>IFERROR(IF(Paradas[[#This Row],[Hora Fim]]="","",(Paradas[[#This Row],[Data fim]]+Paradas[[#This Row],[Hora Fim]])-(Paradas[[#This Row],[Data Início]]+Paradas[[#This Row],[Hora Início]])),"Data Fim errada")</f>
        <v>4.3750000004365575E-2</v>
      </c>
    </row>
    <row r="38" spans="1:11" x14ac:dyDescent="0.3">
      <c r="A38" s="2">
        <v>46006</v>
      </c>
      <c r="B38" s="2" t="s">
        <v>74</v>
      </c>
      <c r="C38" s="2">
        <v>46007</v>
      </c>
      <c r="D38" s="2">
        <v>46007</v>
      </c>
      <c r="E38" s="7">
        <v>7.013888888888889E-2</v>
      </c>
      <c r="F38" s="7">
        <v>0.12986111111111112</v>
      </c>
      <c r="G38" s="3" t="s">
        <v>81</v>
      </c>
      <c r="H38" s="3" t="s">
        <v>191</v>
      </c>
      <c r="I38" s="3" t="s">
        <v>104</v>
      </c>
      <c r="J38" s="3" t="s">
        <v>128</v>
      </c>
      <c r="K38" s="17">
        <f>IFERROR(IF(Paradas[[#This Row],[Hora Fim]]="","",(Paradas[[#This Row],[Data fim]]+Paradas[[#This Row],[Hora Fim]])-(Paradas[[#This Row],[Data Início]]+Paradas[[#This Row],[Hora Início]])),"Data Fim errada")</f>
        <v>5.9722222220443655E-2</v>
      </c>
    </row>
    <row r="39" spans="1:11" x14ac:dyDescent="0.3">
      <c r="A39" s="2">
        <v>46008</v>
      </c>
      <c r="B39" s="2" t="s">
        <v>74</v>
      </c>
      <c r="C39" s="2">
        <v>46009</v>
      </c>
      <c r="D39" s="2">
        <v>46009</v>
      </c>
      <c r="E39" s="7">
        <v>6.9444444444444441E-3</v>
      </c>
      <c r="F39" s="7">
        <v>1.6666666666666666E-2</v>
      </c>
      <c r="G39" s="3" t="s">
        <v>82</v>
      </c>
      <c r="H39" s="3" t="s">
        <v>191</v>
      </c>
      <c r="I39" s="3" t="s">
        <v>104</v>
      </c>
      <c r="J39" s="3" t="s">
        <v>130</v>
      </c>
      <c r="K39" s="17">
        <f>IFERROR(IF(Paradas[[#This Row],[Hora Fim]]="","",(Paradas[[#This Row],[Data fim]]+Paradas[[#This Row],[Hora Fim]])-(Paradas[[#This Row],[Data Início]]+Paradas[[#This Row],[Hora Início]])),"Data Fim errada")</f>
        <v>9.7222222248092294E-3</v>
      </c>
    </row>
    <row r="40" spans="1:11" x14ac:dyDescent="0.3">
      <c r="A40" s="2">
        <v>46008</v>
      </c>
      <c r="B40" s="2" t="s">
        <v>74</v>
      </c>
      <c r="C40" s="2">
        <v>46009</v>
      </c>
      <c r="D40" s="2">
        <v>46009</v>
      </c>
      <c r="E40" s="7">
        <v>1.6666666666666666E-2</v>
      </c>
      <c r="F40" s="7">
        <v>2.4305555555555556E-2</v>
      </c>
      <c r="G40" s="3" t="s">
        <v>83</v>
      </c>
      <c r="H40" s="3" t="s">
        <v>191</v>
      </c>
      <c r="I40" s="3" t="s">
        <v>104</v>
      </c>
      <c r="J40" s="3" t="s">
        <v>129</v>
      </c>
      <c r="K40" s="17">
        <f>IFERROR(IF(Paradas[[#This Row],[Hora Fim]]="","",(Paradas[[#This Row],[Data fim]]+Paradas[[#This Row],[Hora Fim]])-(Paradas[[#This Row],[Data Início]]+Paradas[[#This Row],[Hora Início]])),"Data Fim errada")</f>
        <v>7.6388888846850023E-3</v>
      </c>
    </row>
    <row r="41" spans="1:11" x14ac:dyDescent="0.3">
      <c r="A41" s="2">
        <v>46008</v>
      </c>
      <c r="B41" s="2" t="s">
        <v>74</v>
      </c>
      <c r="C41" s="2">
        <v>46009</v>
      </c>
      <c r="D41" s="2">
        <v>46009</v>
      </c>
      <c r="E41" s="7">
        <v>2.4305555555555556E-2</v>
      </c>
      <c r="F41" s="7">
        <v>3.4027777777777775E-2</v>
      </c>
      <c r="G41" s="3" t="s">
        <v>82</v>
      </c>
      <c r="H41" s="3" t="s">
        <v>191</v>
      </c>
      <c r="I41" s="3" t="s">
        <v>104</v>
      </c>
      <c r="J41" s="3" t="s">
        <v>129</v>
      </c>
      <c r="K41" s="17">
        <f>IFERROR(IF(Paradas[[#This Row],[Hora Fim]]="","",(Paradas[[#This Row],[Data fim]]+Paradas[[#This Row],[Hora Fim]])-(Paradas[[#This Row],[Data Início]]+Paradas[[#This Row],[Hora Início]])),"Data Fim errada")</f>
        <v>9.7222222248092294E-3</v>
      </c>
    </row>
    <row r="42" spans="1:11" x14ac:dyDescent="0.3">
      <c r="A42" s="2">
        <v>46008</v>
      </c>
      <c r="B42" s="2" t="s">
        <v>74</v>
      </c>
      <c r="C42" s="2">
        <v>46009</v>
      </c>
      <c r="D42" s="2">
        <v>46009</v>
      </c>
      <c r="E42" s="7">
        <v>3.4027777777777775E-2</v>
      </c>
      <c r="F42" s="7">
        <v>5.8333333333333334E-2</v>
      </c>
      <c r="G42" s="3" t="s">
        <v>81</v>
      </c>
      <c r="H42" s="3" t="s">
        <v>191</v>
      </c>
      <c r="I42" s="3" t="s">
        <v>104</v>
      </c>
      <c r="J42" s="3" t="s">
        <v>131</v>
      </c>
      <c r="K42" s="17">
        <f>IFERROR(IF(Paradas[[#This Row],[Hora Fim]]="","",(Paradas[[#This Row],[Data fim]]+Paradas[[#This Row],[Hora Fim]])-(Paradas[[#This Row],[Data Início]]+Paradas[[#This Row],[Hora Início]])),"Data Fim errada")</f>
        <v>2.4305555554747116E-2</v>
      </c>
    </row>
    <row r="43" spans="1:11" x14ac:dyDescent="0.3">
      <c r="A43" s="2">
        <v>46008</v>
      </c>
      <c r="B43" s="2" t="s">
        <v>74</v>
      </c>
      <c r="C43" s="2">
        <v>46009</v>
      </c>
      <c r="D43" s="2">
        <v>46009</v>
      </c>
      <c r="E43" s="7">
        <v>0.25624999999999998</v>
      </c>
      <c r="F43" s="7">
        <v>0.33402777777777776</v>
      </c>
      <c r="G43" s="3" t="s">
        <v>82</v>
      </c>
      <c r="H43" s="3" t="s">
        <v>190</v>
      </c>
      <c r="I43" s="3" t="s">
        <v>91</v>
      </c>
      <c r="J43" s="3" t="s">
        <v>132</v>
      </c>
      <c r="K43" s="17">
        <f>IFERROR(IF(Paradas[[#This Row],[Hora Fim]]="","",(Paradas[[#This Row],[Data fim]]+Paradas[[#This Row],[Hora Fim]])-(Paradas[[#This Row],[Data Início]]+Paradas[[#This Row],[Hora Início]])),"Data Fim errada")</f>
        <v>7.7777777776645962E-2</v>
      </c>
    </row>
    <row r="44" spans="1:11" x14ac:dyDescent="0.3">
      <c r="A44" s="2">
        <v>46008</v>
      </c>
      <c r="B44" s="2" t="s">
        <v>73</v>
      </c>
      <c r="C44" s="2">
        <v>46008</v>
      </c>
      <c r="D44" s="2">
        <v>46008</v>
      </c>
      <c r="E44" s="7">
        <v>0.3888888888888889</v>
      </c>
      <c r="F44" s="7">
        <v>0.39166666666666666</v>
      </c>
      <c r="G44" s="3" t="s">
        <v>81</v>
      </c>
      <c r="H44" s="3" t="s">
        <v>191</v>
      </c>
      <c r="I44" s="3" t="s">
        <v>104</v>
      </c>
      <c r="J44" s="3" t="s">
        <v>135</v>
      </c>
      <c r="K44" s="17">
        <f>IFERROR(IF(Paradas[[#This Row],[Hora Fim]]="","",(Paradas[[#This Row],[Data fim]]+Paradas[[#This Row],[Hora Fim]])-(Paradas[[#This Row],[Data Início]]+Paradas[[#This Row],[Hora Início]])),"Data Fim errada")</f>
        <v>2.7777777795563452E-3</v>
      </c>
    </row>
    <row r="45" spans="1:11" x14ac:dyDescent="0.3">
      <c r="A45" s="2">
        <v>46008</v>
      </c>
      <c r="B45" s="2" t="s">
        <v>73</v>
      </c>
      <c r="C45" s="2">
        <v>46008</v>
      </c>
      <c r="D45" s="2">
        <v>46008</v>
      </c>
      <c r="E45" s="7">
        <v>0.47013888888888888</v>
      </c>
      <c r="F45" s="7">
        <v>0.47430555555555554</v>
      </c>
      <c r="G45" s="3" t="s">
        <v>84</v>
      </c>
      <c r="H45" s="3" t="s">
        <v>191</v>
      </c>
      <c r="I45" s="3" t="s">
        <v>89</v>
      </c>
      <c r="J45" s="3"/>
      <c r="K45" s="17">
        <f>IFERROR(IF(Paradas[[#This Row],[Hora Fim]]="","",(Paradas[[#This Row],[Data fim]]+Paradas[[#This Row],[Hora Fim]])-(Paradas[[#This Row],[Data Início]]+Paradas[[#This Row],[Hora Início]])),"Data Fim errada")</f>
        <v>4.1666666729724966E-3</v>
      </c>
    </row>
    <row r="46" spans="1:11" x14ac:dyDescent="0.3">
      <c r="A46" s="2">
        <v>46008</v>
      </c>
      <c r="B46" s="2" t="s">
        <v>73</v>
      </c>
      <c r="C46" s="2">
        <v>46008</v>
      </c>
      <c r="D46" s="2">
        <v>46008</v>
      </c>
      <c r="E46" s="7">
        <v>0.47847222222222224</v>
      </c>
      <c r="F46" s="7">
        <v>0.49027777777777776</v>
      </c>
      <c r="G46" s="3" t="s">
        <v>83</v>
      </c>
      <c r="H46" s="3" t="s">
        <v>190</v>
      </c>
      <c r="I46" s="3" t="s">
        <v>91</v>
      </c>
      <c r="J46" s="3" t="s">
        <v>138</v>
      </c>
      <c r="K46" s="17">
        <f>IFERROR(IF(Paradas[[#This Row],[Hora Fim]]="","",(Paradas[[#This Row],[Data fim]]+Paradas[[#This Row],[Hora Fim]])-(Paradas[[#This Row],[Data Início]]+Paradas[[#This Row],[Hora Início]])),"Data Fim errada")</f>
        <v>1.1805555550381541E-2</v>
      </c>
    </row>
    <row r="47" spans="1:11" x14ac:dyDescent="0.3">
      <c r="A47" s="2">
        <v>46008</v>
      </c>
      <c r="B47" s="2" t="s">
        <v>73</v>
      </c>
      <c r="C47" s="2">
        <v>46008</v>
      </c>
      <c r="D47" s="2">
        <v>46008</v>
      </c>
      <c r="E47" s="7">
        <v>0.6430555555555556</v>
      </c>
      <c r="F47" s="7">
        <v>0.68611111111111112</v>
      </c>
      <c r="G47" s="3" t="s">
        <v>81</v>
      </c>
      <c r="H47" s="3" t="s">
        <v>190</v>
      </c>
      <c r="I47" s="3" t="s">
        <v>91</v>
      </c>
      <c r="J47" s="3" t="s">
        <v>136</v>
      </c>
      <c r="K47" s="17">
        <f>IFERROR(IF(Paradas[[#This Row],[Hora Fim]]="","",(Paradas[[#This Row],[Data fim]]+Paradas[[#This Row],[Hora Fim]])-(Paradas[[#This Row],[Data Início]]+Paradas[[#This Row],[Hora Início]])),"Data Fim errada")</f>
        <v>4.3055555557657499E-2</v>
      </c>
    </row>
    <row r="48" spans="1:11" x14ac:dyDescent="0.3">
      <c r="A48" s="2">
        <v>46009</v>
      </c>
      <c r="B48" s="2" t="s">
        <v>73</v>
      </c>
      <c r="C48" s="2">
        <v>46009</v>
      </c>
      <c r="D48" s="2">
        <v>46009</v>
      </c>
      <c r="E48" s="7">
        <v>0.29166666666666669</v>
      </c>
      <c r="F48" s="7">
        <v>0.3611111111111111</v>
      </c>
      <c r="G48" s="3" t="s">
        <v>192</v>
      </c>
      <c r="H48" s="3" t="s">
        <v>191</v>
      </c>
      <c r="I48" s="3" t="s">
        <v>96</v>
      </c>
      <c r="J48" s="3" t="s">
        <v>133</v>
      </c>
      <c r="K48" s="17">
        <f>IFERROR(IF(Paradas[[#This Row],[Hora Fim]]="","",(Paradas[[#This Row],[Data fim]]+Paradas[[#This Row],[Hora Fim]])-(Paradas[[#This Row],[Data Início]]+Paradas[[#This Row],[Hora Início]])),"Data Fim errada")</f>
        <v>6.9444444445252884E-2</v>
      </c>
    </row>
    <row r="49" spans="1:11" x14ac:dyDescent="0.3">
      <c r="A49" s="2">
        <v>46009</v>
      </c>
      <c r="B49" s="2" t="s">
        <v>73</v>
      </c>
      <c r="C49" s="2">
        <v>46009</v>
      </c>
      <c r="D49" s="2">
        <v>46009</v>
      </c>
      <c r="E49" s="7">
        <v>0.3611111111111111</v>
      </c>
      <c r="F49" s="7">
        <v>0.40277777777777779</v>
      </c>
      <c r="G49" s="3" t="s">
        <v>83</v>
      </c>
      <c r="H49" s="3" t="s">
        <v>190</v>
      </c>
      <c r="I49" s="3" t="s">
        <v>91</v>
      </c>
      <c r="J49" s="3" t="s">
        <v>134</v>
      </c>
      <c r="K49" s="17">
        <f>IFERROR(IF(Paradas[[#This Row],[Hora Fim]]="","",(Paradas[[#This Row],[Data fim]]+Paradas[[#This Row],[Hora Fim]])-(Paradas[[#This Row],[Data Início]]+Paradas[[#This Row],[Hora Início]])),"Data Fim errada")</f>
        <v>4.1666666671517305E-2</v>
      </c>
    </row>
    <row r="50" spans="1:11" x14ac:dyDescent="0.3">
      <c r="A50" s="2">
        <v>46009</v>
      </c>
      <c r="B50" s="2" t="s">
        <v>73</v>
      </c>
      <c r="C50" s="2">
        <v>46009</v>
      </c>
      <c r="D50" s="2">
        <v>46009</v>
      </c>
      <c r="E50" s="7">
        <v>0.66666666666666663</v>
      </c>
      <c r="F50" s="7">
        <v>0.70208333333333328</v>
      </c>
      <c r="G50" s="3" t="s">
        <v>81</v>
      </c>
      <c r="H50" s="3" t="s">
        <v>191</v>
      </c>
      <c r="I50" s="3" t="s">
        <v>104</v>
      </c>
      <c r="J50" s="3" t="s">
        <v>135</v>
      </c>
      <c r="K50" s="17">
        <f>IFERROR(IF(Paradas[[#This Row],[Hora Fim]]="","",(Paradas[[#This Row],[Data fim]]+Paradas[[#This Row],[Hora Fim]])-(Paradas[[#This Row],[Data Início]]+Paradas[[#This Row],[Hora Início]])),"Data Fim errada")</f>
        <v>3.5416666665696539E-2</v>
      </c>
    </row>
    <row r="51" spans="1:11" x14ac:dyDescent="0.3">
      <c r="A51" s="2">
        <v>46009</v>
      </c>
      <c r="B51" s="2" t="s">
        <v>73</v>
      </c>
      <c r="C51" s="2">
        <v>46009</v>
      </c>
      <c r="D51" s="2">
        <v>46009</v>
      </c>
      <c r="E51" s="7">
        <v>0.75694444444444442</v>
      </c>
      <c r="F51" s="7">
        <v>0.76736111111111116</v>
      </c>
      <c r="G51" s="3" t="s">
        <v>84</v>
      </c>
      <c r="H51" s="3" t="s">
        <v>191</v>
      </c>
      <c r="I51" s="3" t="s">
        <v>104</v>
      </c>
      <c r="J51" s="3" t="s">
        <v>135</v>
      </c>
      <c r="K51" s="17">
        <f>IFERROR(IF(Paradas[[#This Row],[Hora Fim]]="","",(Paradas[[#This Row],[Data fim]]+Paradas[[#This Row],[Hora Fim]])-(Paradas[[#This Row],[Data Início]]+Paradas[[#This Row],[Hora Início]])),"Data Fim errada")</f>
        <v>1.0416666664241347E-2</v>
      </c>
    </row>
    <row r="52" spans="1:11" x14ac:dyDescent="0.3">
      <c r="A52" s="2">
        <v>46009</v>
      </c>
      <c r="B52" s="2" t="s">
        <v>74</v>
      </c>
      <c r="C52" s="2">
        <v>46010</v>
      </c>
      <c r="D52" s="2">
        <v>46010</v>
      </c>
      <c r="E52" s="7">
        <v>0.12916666666666668</v>
      </c>
      <c r="F52" s="7">
        <v>0.1763888888888889</v>
      </c>
      <c r="G52" s="3" t="s">
        <v>82</v>
      </c>
      <c r="H52" s="3" t="s">
        <v>190</v>
      </c>
      <c r="I52" s="3" t="s">
        <v>91</v>
      </c>
      <c r="J52" s="3" t="s">
        <v>137</v>
      </c>
      <c r="K52" s="17">
        <f>IFERROR(IF(Paradas[[#This Row],[Hora Fim]]="","",(Paradas[[#This Row],[Data fim]]+Paradas[[#This Row],[Hora Fim]])-(Paradas[[#This Row],[Data Início]]+Paradas[[#This Row],[Hora Início]])),"Data Fim errada")</f>
        <v>4.7222222223354038E-2</v>
      </c>
    </row>
    <row r="53" spans="1:11" x14ac:dyDescent="0.3">
      <c r="A53" s="2">
        <v>46009</v>
      </c>
      <c r="B53" s="2" t="s">
        <v>74</v>
      </c>
      <c r="C53" s="2">
        <v>46010</v>
      </c>
      <c r="D53" s="2">
        <v>46010</v>
      </c>
      <c r="E53" s="7">
        <v>0.19652777777777777</v>
      </c>
      <c r="F53" s="7">
        <v>0.2</v>
      </c>
      <c r="G53" s="3" t="s">
        <v>82</v>
      </c>
      <c r="H53" s="3" t="s">
        <v>190</v>
      </c>
      <c r="I53" s="3" t="s">
        <v>90</v>
      </c>
      <c r="J53" s="3"/>
      <c r="K53" s="17">
        <f>IFERROR(IF(Paradas[[#This Row],[Hora Fim]]="","",(Paradas[[#This Row],[Data fim]]+Paradas[[#This Row],[Hora Fim]])-(Paradas[[#This Row],[Data Início]]+Paradas[[#This Row],[Hora Início]])),"Data Fim errada")</f>
        <v>3.4722222189884633E-3</v>
      </c>
    </row>
    <row r="54" spans="1:11" x14ac:dyDescent="0.3">
      <c r="A54" s="2">
        <v>46010</v>
      </c>
      <c r="B54" s="2" t="s">
        <v>74</v>
      </c>
      <c r="C54" s="2">
        <v>46010</v>
      </c>
      <c r="D54" s="2">
        <v>46010</v>
      </c>
      <c r="E54" s="7">
        <v>0.79166666666666663</v>
      </c>
      <c r="F54" s="7">
        <v>0.86944444444444446</v>
      </c>
      <c r="G54" s="3" t="s">
        <v>192</v>
      </c>
      <c r="H54" s="3" t="s">
        <v>101</v>
      </c>
      <c r="I54" s="3" t="s">
        <v>94</v>
      </c>
      <c r="J54" s="3" t="s">
        <v>139</v>
      </c>
      <c r="K54" s="17">
        <f>IFERROR(IF(Paradas[[#This Row],[Hora Fim]]="","",(Paradas[[#This Row],[Data fim]]+Paradas[[#This Row],[Hora Fim]])-(Paradas[[#This Row],[Data Início]]+Paradas[[#This Row],[Hora Início]])),"Data Fim errada")</f>
        <v>7.7777777776645962E-2</v>
      </c>
    </row>
    <row r="55" spans="1:11" x14ac:dyDescent="0.3">
      <c r="A55" s="2">
        <v>46010</v>
      </c>
      <c r="B55" s="2" t="s">
        <v>74</v>
      </c>
      <c r="C55" s="2">
        <v>46010</v>
      </c>
      <c r="D55" s="2">
        <v>46010</v>
      </c>
      <c r="E55" s="7">
        <v>0.87222222222222223</v>
      </c>
      <c r="F55" s="7">
        <v>0.88888888888888884</v>
      </c>
      <c r="G55" s="3" t="s">
        <v>82</v>
      </c>
      <c r="H55" s="3" t="s">
        <v>191</v>
      </c>
      <c r="I55" s="3" t="s">
        <v>89</v>
      </c>
      <c r="J55" s="3" t="s">
        <v>140</v>
      </c>
      <c r="K55" s="17">
        <f>IFERROR(IF(Paradas[[#This Row],[Hora Fim]]="","",(Paradas[[#This Row],[Data fim]]+Paradas[[#This Row],[Hora Fim]])-(Paradas[[#This Row],[Data Início]]+Paradas[[#This Row],[Hora Início]])),"Data Fim errada")</f>
        <v>1.6666666670062114E-2</v>
      </c>
    </row>
    <row r="56" spans="1:11" x14ac:dyDescent="0.3">
      <c r="A56" s="2">
        <v>46010</v>
      </c>
      <c r="B56" s="2" t="s">
        <v>74</v>
      </c>
      <c r="C56" s="2">
        <v>46011</v>
      </c>
      <c r="D56" s="2">
        <v>46011</v>
      </c>
      <c r="E56" s="7">
        <v>0.14652777777777778</v>
      </c>
      <c r="F56" s="7">
        <v>0.16111111111111112</v>
      </c>
      <c r="G56" s="3" t="s">
        <v>81</v>
      </c>
      <c r="H56" s="3" t="s">
        <v>191</v>
      </c>
      <c r="I56" s="3" t="s">
        <v>104</v>
      </c>
      <c r="J56" s="3" t="s">
        <v>135</v>
      </c>
      <c r="K56" s="17">
        <f>IFERROR(IF(Paradas[[#This Row],[Hora Fim]]="","",(Paradas[[#This Row],[Data fim]]+Paradas[[#This Row],[Hora Fim]])-(Paradas[[#This Row],[Data Início]]+Paradas[[#This Row],[Hora Início]])),"Data Fim errada")</f>
        <v>1.4583333337213844E-2</v>
      </c>
    </row>
    <row r="57" spans="1:11" x14ac:dyDescent="0.3">
      <c r="A57" s="2">
        <v>46005</v>
      </c>
      <c r="B57" s="2" t="s">
        <v>73</v>
      </c>
      <c r="C57" s="2">
        <v>46005</v>
      </c>
      <c r="D57" s="2">
        <v>46005</v>
      </c>
      <c r="E57" s="7">
        <v>0.3840277777777778</v>
      </c>
      <c r="F57" s="7">
        <v>0.61111111111111116</v>
      </c>
      <c r="G57" s="3" t="s">
        <v>81</v>
      </c>
      <c r="H57" s="3" t="s">
        <v>190</v>
      </c>
      <c r="I57" s="3" t="s">
        <v>91</v>
      </c>
      <c r="J57" s="3" t="s">
        <v>141</v>
      </c>
      <c r="K57" s="17">
        <f>IFERROR(IF(Paradas[[#This Row],[Hora Fim]]="","",(Paradas[[#This Row],[Data fim]]+Paradas[[#This Row],[Hora Fim]])-(Paradas[[#This Row],[Data Início]]+Paradas[[#This Row],[Hora Início]])),"Data Fim errada")</f>
        <v>0.22708333333139308</v>
      </c>
    </row>
    <row r="58" spans="1:11" x14ac:dyDescent="0.3">
      <c r="A58" s="2">
        <v>46005</v>
      </c>
      <c r="B58" s="2" t="s">
        <v>73</v>
      </c>
      <c r="C58" s="2">
        <v>46005</v>
      </c>
      <c r="D58" s="2">
        <v>46005</v>
      </c>
      <c r="E58" s="7">
        <v>0.67638888888888893</v>
      </c>
      <c r="F58" s="7">
        <v>0.70833333333333337</v>
      </c>
      <c r="G58" s="3" t="s">
        <v>192</v>
      </c>
      <c r="H58" s="3" t="s">
        <v>101</v>
      </c>
      <c r="I58" s="3" t="s">
        <v>94</v>
      </c>
      <c r="J58" s="3" t="s">
        <v>127</v>
      </c>
      <c r="K58" s="17">
        <f>IFERROR(IF(Paradas[[#This Row],[Hora Fim]]="","",(Paradas[[#This Row],[Data fim]]+Paradas[[#This Row],[Hora Fim]])-(Paradas[[#This Row],[Data Início]]+Paradas[[#This Row],[Hora Início]])),"Data Fim errada")</f>
        <v>3.1944444446708076E-2</v>
      </c>
    </row>
    <row r="59" spans="1:11" x14ac:dyDescent="0.3">
      <c r="A59" s="2">
        <v>46005</v>
      </c>
      <c r="B59" s="2" t="s">
        <v>73</v>
      </c>
      <c r="C59" s="2">
        <v>46005</v>
      </c>
      <c r="D59" s="2">
        <v>46005</v>
      </c>
      <c r="E59" s="7">
        <v>0.70833333333333337</v>
      </c>
      <c r="F59" s="7">
        <v>0.73611111111111116</v>
      </c>
      <c r="G59" s="3" t="s">
        <v>82</v>
      </c>
      <c r="H59" s="3" t="s">
        <v>191</v>
      </c>
      <c r="I59" s="3" t="s">
        <v>89</v>
      </c>
      <c r="J59" s="3" t="s">
        <v>142</v>
      </c>
      <c r="K59" s="17">
        <f>IFERROR(IF(Paradas[[#This Row],[Hora Fim]]="","",(Paradas[[#This Row],[Data fim]]+Paradas[[#This Row],[Hora Fim]])-(Paradas[[#This Row],[Data Início]]+Paradas[[#This Row],[Hora Início]])),"Data Fim errada")</f>
        <v>2.7777777773735579E-2</v>
      </c>
    </row>
    <row r="60" spans="1:11" x14ac:dyDescent="0.3">
      <c r="A60" s="2">
        <v>46004</v>
      </c>
      <c r="B60" s="2" t="s">
        <v>73</v>
      </c>
      <c r="C60" s="2">
        <v>46004</v>
      </c>
      <c r="D60" s="2">
        <v>46004</v>
      </c>
      <c r="E60" s="7">
        <v>0.42777777777777776</v>
      </c>
      <c r="F60" s="7">
        <v>0.45069444444444445</v>
      </c>
      <c r="G60" s="3" t="s">
        <v>83</v>
      </c>
      <c r="H60" s="3" t="s">
        <v>191</v>
      </c>
      <c r="I60" s="3" t="s">
        <v>104</v>
      </c>
      <c r="J60" s="3" t="s">
        <v>143</v>
      </c>
      <c r="K60" s="17">
        <f>IFERROR(IF(Paradas[[#This Row],[Hora Fim]]="","",(Paradas[[#This Row],[Data fim]]+Paradas[[#This Row],[Hora Fim]])-(Paradas[[#This Row],[Data Início]]+Paradas[[#This Row],[Hora Início]])),"Data Fim errada")</f>
        <v>2.2916666668606922E-2</v>
      </c>
    </row>
    <row r="61" spans="1:11" x14ac:dyDescent="0.3">
      <c r="A61" s="2">
        <v>46004</v>
      </c>
      <c r="B61" s="2" t="s">
        <v>73</v>
      </c>
      <c r="C61" s="2">
        <v>46004</v>
      </c>
      <c r="D61" s="2">
        <v>46004</v>
      </c>
      <c r="E61" s="7">
        <v>0.53749999999999998</v>
      </c>
      <c r="F61" s="7">
        <v>0.54513888888888884</v>
      </c>
      <c r="G61" s="3" t="s">
        <v>83</v>
      </c>
      <c r="H61" s="3" t="s">
        <v>191</v>
      </c>
      <c r="I61" s="3" t="s">
        <v>96</v>
      </c>
      <c r="J61" s="3" t="s">
        <v>144</v>
      </c>
      <c r="K61" s="17">
        <f>IFERROR(IF(Paradas[[#This Row],[Hora Fim]]="","",(Paradas[[#This Row],[Data fim]]+Paradas[[#This Row],[Hora Fim]])-(Paradas[[#This Row],[Data Início]]+Paradas[[#This Row],[Hora Início]])),"Data Fim errada")</f>
        <v>7.6388888919609599E-3</v>
      </c>
    </row>
    <row r="62" spans="1:11" x14ac:dyDescent="0.3">
      <c r="A62" s="2">
        <v>46004</v>
      </c>
      <c r="B62" s="2" t="s">
        <v>74</v>
      </c>
      <c r="C62" s="2">
        <v>46005</v>
      </c>
      <c r="D62" s="2">
        <v>46005</v>
      </c>
      <c r="E62" s="7">
        <v>6.3194444444444442E-2</v>
      </c>
      <c r="F62" s="7">
        <v>9.0972222222222218E-2</v>
      </c>
      <c r="G62" s="3" t="s">
        <v>81</v>
      </c>
      <c r="H62" s="3" t="s">
        <v>191</v>
      </c>
      <c r="I62" s="3" t="s">
        <v>104</v>
      </c>
      <c r="J62" s="3" t="s">
        <v>145</v>
      </c>
      <c r="K62" s="17">
        <f>IFERROR(IF(Paradas[[#This Row],[Hora Fim]]="","",(Paradas[[#This Row],[Data fim]]+Paradas[[#This Row],[Hora Fim]])-(Paradas[[#This Row],[Data Início]]+Paradas[[#This Row],[Hora Início]])),"Data Fim errada")</f>
        <v>2.7777777773735579E-2</v>
      </c>
    </row>
    <row r="63" spans="1:11" x14ac:dyDescent="0.3">
      <c r="A63" s="2">
        <v>46004</v>
      </c>
      <c r="B63" s="2" t="s">
        <v>74</v>
      </c>
      <c r="C63" s="2">
        <v>46005</v>
      </c>
      <c r="D63" s="2">
        <v>46005</v>
      </c>
      <c r="E63" s="7">
        <v>0.12847222222222221</v>
      </c>
      <c r="F63" s="7">
        <v>0.13402777777777777</v>
      </c>
      <c r="G63" s="3" t="s">
        <v>81</v>
      </c>
      <c r="H63" s="3" t="s">
        <v>190</v>
      </c>
      <c r="I63" s="3" t="s">
        <v>92</v>
      </c>
      <c r="J63" s="3" t="s">
        <v>146</v>
      </c>
      <c r="K63" s="17">
        <f>IFERROR(IF(Paradas[[#This Row],[Hora Fim]]="","",(Paradas[[#This Row],[Data fim]]+Paradas[[#This Row],[Hora Fim]])-(Paradas[[#This Row],[Data Início]]+Paradas[[#This Row],[Hora Início]])),"Data Fim errada")</f>
        <v>5.5555555591126904E-3</v>
      </c>
    </row>
    <row r="64" spans="1:11" x14ac:dyDescent="0.3">
      <c r="A64" s="2">
        <v>46004</v>
      </c>
      <c r="B64" s="2" t="s">
        <v>74</v>
      </c>
      <c r="C64" s="2">
        <v>46005</v>
      </c>
      <c r="D64" s="2">
        <v>46005</v>
      </c>
      <c r="E64" s="7">
        <v>0.15416666666666667</v>
      </c>
      <c r="F64" s="7">
        <v>0.16666666666666666</v>
      </c>
      <c r="G64" s="3" t="s">
        <v>81</v>
      </c>
      <c r="H64" s="3" t="s">
        <v>190</v>
      </c>
      <c r="I64" s="3" t="s">
        <v>91</v>
      </c>
      <c r="J64" s="3" t="s">
        <v>147</v>
      </c>
      <c r="K64" s="17">
        <f>IFERROR(IF(Paradas[[#This Row],[Hora Fim]]="","",(Paradas[[#This Row],[Data fim]]+Paradas[[#This Row],[Hora Fim]])-(Paradas[[#This Row],[Data Início]]+Paradas[[#This Row],[Hora Início]])),"Data Fim errada")</f>
        <v>1.2499999997089617E-2</v>
      </c>
    </row>
    <row r="65" spans="1:11" x14ac:dyDescent="0.3">
      <c r="A65" s="2">
        <v>45994</v>
      </c>
      <c r="B65" s="2" t="s">
        <v>74</v>
      </c>
      <c r="C65" s="2">
        <v>45995</v>
      </c>
      <c r="D65" s="2">
        <v>45995</v>
      </c>
      <c r="E65" s="7">
        <v>0.19791666666666666</v>
      </c>
      <c r="F65" s="7">
        <v>0.25347222222222221</v>
      </c>
      <c r="G65" s="3" t="s">
        <v>83</v>
      </c>
      <c r="H65" s="3" t="s">
        <v>191</v>
      </c>
      <c r="I65" s="3" t="s">
        <v>89</v>
      </c>
      <c r="J65" s="3"/>
      <c r="K65" s="17">
        <f>IFERROR(IF(Paradas[[#This Row],[Hora Fim]]="","",(Paradas[[#This Row],[Data fim]]+Paradas[[#This Row],[Hora Fim]])-(Paradas[[#This Row],[Data Início]]+Paradas[[#This Row],[Hora Início]])),"Data Fim errada")</f>
        <v>5.5555555554747116E-2</v>
      </c>
    </row>
    <row r="66" spans="1:11" x14ac:dyDescent="0.3">
      <c r="A66" s="2">
        <v>45994</v>
      </c>
      <c r="B66" s="2" t="s">
        <v>74</v>
      </c>
      <c r="C66" s="2">
        <v>45994</v>
      </c>
      <c r="D66" s="2">
        <v>45994</v>
      </c>
      <c r="E66" s="7">
        <v>0.79166666666666663</v>
      </c>
      <c r="F66" s="7">
        <v>0.79861111111111116</v>
      </c>
      <c r="G66" s="3" t="s">
        <v>83</v>
      </c>
      <c r="H66" s="3" t="s">
        <v>191</v>
      </c>
      <c r="I66" s="3" t="s">
        <v>104</v>
      </c>
      <c r="J66" s="3" t="s">
        <v>149</v>
      </c>
      <c r="K66" s="17">
        <f>IFERROR(IF(Paradas[[#This Row],[Hora Fim]]="","",(Paradas[[#This Row],[Data fim]]+Paradas[[#This Row],[Hora Fim]])-(Paradas[[#This Row],[Data Início]]+Paradas[[#This Row],[Hora Início]])),"Data Fim errada")</f>
        <v>6.9444444452528842E-3</v>
      </c>
    </row>
    <row r="67" spans="1:11" x14ac:dyDescent="0.3">
      <c r="A67" s="2">
        <v>45994</v>
      </c>
      <c r="B67" s="2" t="s">
        <v>74</v>
      </c>
      <c r="C67" s="2">
        <v>45994</v>
      </c>
      <c r="D67" s="2">
        <v>45994</v>
      </c>
      <c r="E67" s="7">
        <v>0.79166666666666663</v>
      </c>
      <c r="F67" s="7">
        <v>0.79861111111111116</v>
      </c>
      <c r="G67" s="3" t="s">
        <v>81</v>
      </c>
      <c r="H67" s="3" t="s">
        <v>191</v>
      </c>
      <c r="I67" s="3" t="s">
        <v>104</v>
      </c>
      <c r="J67" s="3" t="s">
        <v>150</v>
      </c>
      <c r="K67" s="17">
        <f>IFERROR(IF(Paradas[[#This Row],[Hora Fim]]="","",(Paradas[[#This Row],[Data fim]]+Paradas[[#This Row],[Hora Fim]])-(Paradas[[#This Row],[Data Início]]+Paradas[[#This Row],[Hora Início]])),"Data Fim errada")</f>
        <v>6.9444444452528842E-3</v>
      </c>
    </row>
    <row r="68" spans="1:11" x14ac:dyDescent="0.3">
      <c r="A68" s="2">
        <v>45994</v>
      </c>
      <c r="B68" s="2" t="s">
        <v>74</v>
      </c>
      <c r="C68" s="2">
        <v>45994</v>
      </c>
      <c r="D68" s="2">
        <v>45994</v>
      </c>
      <c r="E68" s="7">
        <v>0.97152777777777777</v>
      </c>
      <c r="F68" s="7">
        <v>0.97847222222222219</v>
      </c>
      <c r="G68" s="3" t="s">
        <v>83</v>
      </c>
      <c r="H68" s="3" t="s">
        <v>191</v>
      </c>
      <c r="I68" s="3" t="s">
        <v>148</v>
      </c>
      <c r="J68" s="3"/>
      <c r="K68" s="17">
        <f>IFERROR(IF(Paradas[[#This Row],[Hora Fim]]="","",(Paradas[[#This Row],[Data fim]]+Paradas[[#This Row],[Hora Fim]])-(Paradas[[#This Row],[Data Início]]+Paradas[[#This Row],[Hora Início]])),"Data Fim errada")</f>
        <v>6.9444444452528842E-3</v>
      </c>
    </row>
    <row r="69" spans="1:11" x14ac:dyDescent="0.3">
      <c r="A69" s="2">
        <v>45994</v>
      </c>
      <c r="B69" s="2" t="s">
        <v>73</v>
      </c>
      <c r="C69" s="2">
        <v>45994</v>
      </c>
      <c r="D69" s="2">
        <v>45994</v>
      </c>
      <c r="E69" s="7">
        <v>0.34375</v>
      </c>
      <c r="F69" s="7">
        <v>0.35347222222222224</v>
      </c>
      <c r="G69" s="3" t="s">
        <v>99</v>
      </c>
      <c r="H69" s="3" t="s">
        <v>191</v>
      </c>
      <c r="I69" s="3" t="s">
        <v>167</v>
      </c>
      <c r="J69" s="3" t="s">
        <v>102</v>
      </c>
      <c r="K69" s="17">
        <f>IFERROR(IF(Paradas[[#This Row],[Hora Fim]]="","",(Paradas[[#This Row],[Data fim]]+Paradas[[#This Row],[Hora Fim]])-(Paradas[[#This Row],[Data Início]]+Paradas[[#This Row],[Hora Início]])),"Data Fim errada")</f>
        <v>9.7222222248092294E-3</v>
      </c>
    </row>
    <row r="70" spans="1:11" x14ac:dyDescent="0.3">
      <c r="A70" s="2">
        <v>45994</v>
      </c>
      <c r="B70" s="2" t="s">
        <v>73</v>
      </c>
      <c r="C70" s="2">
        <v>45994</v>
      </c>
      <c r="D70" s="2">
        <v>45994</v>
      </c>
      <c r="E70" s="7">
        <v>0.35347222222222224</v>
      </c>
      <c r="F70" s="7">
        <v>0.36736111111111114</v>
      </c>
      <c r="G70" s="3" t="s">
        <v>81</v>
      </c>
      <c r="H70" s="3" t="s">
        <v>190</v>
      </c>
      <c r="I70" s="3" t="s">
        <v>92</v>
      </c>
      <c r="J70" s="3" t="s">
        <v>151</v>
      </c>
      <c r="K70" s="17">
        <f>IFERROR(IF(Paradas[[#This Row],[Hora Fim]]="","",(Paradas[[#This Row],[Data fim]]+Paradas[[#This Row],[Hora Fim]])-(Paradas[[#This Row],[Data Início]]+Paradas[[#This Row],[Hora Início]])),"Data Fim errada")</f>
        <v>1.3888888883229811E-2</v>
      </c>
    </row>
    <row r="71" spans="1:11" x14ac:dyDescent="0.3">
      <c r="A71" s="2">
        <v>45994</v>
      </c>
      <c r="B71" s="2" t="s">
        <v>73</v>
      </c>
      <c r="C71" s="2">
        <v>45994</v>
      </c>
      <c r="D71" s="2">
        <v>45994</v>
      </c>
      <c r="E71" s="7">
        <v>0.45833333333333331</v>
      </c>
      <c r="F71" s="7">
        <v>0.46041666666666664</v>
      </c>
      <c r="G71" s="3" t="s">
        <v>84</v>
      </c>
      <c r="H71" s="3" t="s">
        <v>191</v>
      </c>
      <c r="I71" s="3" t="s">
        <v>89</v>
      </c>
      <c r="J71" s="3"/>
      <c r="K71" s="17">
        <f>IFERROR(IF(Paradas[[#This Row],[Hora Fim]]="","",(Paradas[[#This Row],[Data fim]]+Paradas[[#This Row],[Hora Fim]])-(Paradas[[#This Row],[Data Início]]+Paradas[[#This Row],[Hora Início]])),"Data Fim errada")</f>
        <v>2.0833333328482695E-3</v>
      </c>
    </row>
    <row r="72" spans="1:11" x14ac:dyDescent="0.3">
      <c r="A72" s="2">
        <v>45994</v>
      </c>
      <c r="B72" s="2" t="s">
        <v>73</v>
      </c>
      <c r="C72" s="2">
        <v>45994</v>
      </c>
      <c r="D72" s="2">
        <v>45994</v>
      </c>
      <c r="E72" s="7">
        <v>0.46250000000000002</v>
      </c>
      <c r="F72" s="7">
        <v>0.47986111111111113</v>
      </c>
      <c r="G72" s="3" t="s">
        <v>84</v>
      </c>
      <c r="H72" s="3" t="s">
        <v>191</v>
      </c>
      <c r="I72" s="3" t="s">
        <v>96</v>
      </c>
      <c r="J72" s="3" t="s">
        <v>152</v>
      </c>
      <c r="K72" s="17">
        <f>IFERROR(IF(Paradas[[#This Row],[Hora Fim]]="","",(Paradas[[#This Row],[Data fim]]+Paradas[[#This Row],[Hora Fim]])-(Paradas[[#This Row],[Data Início]]+Paradas[[#This Row],[Hora Início]])),"Data Fim errada")</f>
        <v>1.7361111109494232E-2</v>
      </c>
    </row>
    <row r="73" spans="1:11" x14ac:dyDescent="0.3">
      <c r="A73" s="2">
        <v>45994</v>
      </c>
      <c r="B73" s="2" t="s">
        <v>73</v>
      </c>
      <c r="C73" s="2">
        <v>45994</v>
      </c>
      <c r="D73" s="2">
        <v>45994</v>
      </c>
      <c r="E73" s="7">
        <v>0.50972222222222219</v>
      </c>
      <c r="F73" s="7">
        <v>0.52847222222222223</v>
      </c>
      <c r="G73" s="3" t="s">
        <v>99</v>
      </c>
      <c r="H73" s="3" t="s">
        <v>191</v>
      </c>
      <c r="I73" s="3" t="s">
        <v>93</v>
      </c>
      <c r="J73" s="3" t="s">
        <v>153</v>
      </c>
      <c r="K73" s="17">
        <f>IFERROR(IF(Paradas[[#This Row],[Hora Fim]]="","",(Paradas[[#This Row],[Data fim]]+Paradas[[#This Row],[Hora Fim]])-(Paradas[[#This Row],[Data Início]]+Paradas[[#This Row],[Hora Início]])),"Data Fim errada")</f>
        <v>1.8749999995634425E-2</v>
      </c>
    </row>
    <row r="74" spans="1:11" x14ac:dyDescent="0.3">
      <c r="A74" s="2">
        <v>45994</v>
      </c>
      <c r="B74" s="2" t="s">
        <v>73</v>
      </c>
      <c r="C74" s="2">
        <v>45994</v>
      </c>
      <c r="D74" s="2">
        <v>45994</v>
      </c>
      <c r="E74" s="7">
        <v>0.60416666666666663</v>
      </c>
      <c r="F74" s="7">
        <v>0.61388888888888893</v>
      </c>
      <c r="G74" s="3" t="s">
        <v>99</v>
      </c>
      <c r="H74" s="3" t="s">
        <v>191</v>
      </c>
      <c r="I74" s="3" t="s">
        <v>93</v>
      </c>
      <c r="J74" s="3" t="s">
        <v>154</v>
      </c>
      <c r="K74" s="17">
        <f>IFERROR(IF(Paradas[[#This Row],[Hora Fim]]="","",(Paradas[[#This Row],[Data fim]]+Paradas[[#This Row],[Hora Fim]])-(Paradas[[#This Row],[Data Início]]+Paradas[[#This Row],[Hora Início]])),"Data Fim errada")</f>
        <v>9.7222222248092294E-3</v>
      </c>
    </row>
    <row r="75" spans="1:11" x14ac:dyDescent="0.3">
      <c r="A75" s="2">
        <v>45994</v>
      </c>
      <c r="B75" s="2" t="s">
        <v>73</v>
      </c>
      <c r="C75" s="2">
        <v>45994</v>
      </c>
      <c r="D75" s="2">
        <v>45994</v>
      </c>
      <c r="E75" s="7">
        <v>0.77361111111111114</v>
      </c>
      <c r="F75" s="7">
        <v>0.77986111111111112</v>
      </c>
      <c r="G75" s="3" t="s">
        <v>99</v>
      </c>
      <c r="H75" s="3" t="s">
        <v>191</v>
      </c>
      <c r="I75" s="3" t="s">
        <v>167</v>
      </c>
      <c r="J75" s="3" t="s">
        <v>102</v>
      </c>
      <c r="K75" s="17">
        <f>IFERROR(IF(Paradas[[#This Row],[Hora Fim]]="","",(Paradas[[#This Row],[Data fim]]+Paradas[[#This Row],[Hora Fim]])-(Paradas[[#This Row],[Data Início]]+Paradas[[#This Row],[Hora Início]])),"Data Fim errada")</f>
        <v>6.2500000058207661E-3</v>
      </c>
    </row>
    <row r="76" spans="1:11" x14ac:dyDescent="0.3">
      <c r="A76" s="2">
        <v>45994</v>
      </c>
      <c r="B76" s="2" t="s">
        <v>73</v>
      </c>
      <c r="C76" s="2">
        <v>45994</v>
      </c>
      <c r="D76" s="2">
        <v>45994</v>
      </c>
      <c r="E76" s="7">
        <v>0.77361111111111114</v>
      </c>
      <c r="F76" s="7">
        <v>0.79861111111111116</v>
      </c>
      <c r="G76" s="3" t="s">
        <v>83</v>
      </c>
      <c r="H76" s="3" t="s">
        <v>191</v>
      </c>
      <c r="I76" s="3" t="s">
        <v>104</v>
      </c>
      <c r="J76" s="3" t="s">
        <v>155</v>
      </c>
      <c r="K76" s="17">
        <f>IFERROR(IF(Paradas[[#This Row],[Hora Fim]]="","",(Paradas[[#This Row],[Data fim]]+Paradas[[#This Row],[Hora Fim]])-(Paradas[[#This Row],[Data Início]]+Paradas[[#This Row],[Hora Início]])),"Data Fim errada")</f>
        <v>2.5000000001455192E-2</v>
      </c>
    </row>
    <row r="77" spans="1:11" x14ac:dyDescent="0.3">
      <c r="A77" s="2">
        <v>45993</v>
      </c>
      <c r="B77" s="2" t="s">
        <v>74</v>
      </c>
      <c r="C77" s="2">
        <v>45993</v>
      </c>
      <c r="D77" s="2">
        <v>45994</v>
      </c>
      <c r="E77" s="7">
        <v>0.79166666666666663</v>
      </c>
      <c r="F77" s="7">
        <v>0.10416666666666667</v>
      </c>
      <c r="G77" s="3" t="s">
        <v>81</v>
      </c>
      <c r="H77" s="3" t="s">
        <v>190</v>
      </c>
      <c r="I77" s="3" t="s">
        <v>91</v>
      </c>
      <c r="J77" s="3" t="s">
        <v>156</v>
      </c>
      <c r="K77" s="17">
        <f>IFERROR(IF(Paradas[[#This Row],[Hora Fim]]="","",(Paradas[[#This Row],[Data fim]]+Paradas[[#This Row],[Hora Fim]])-(Paradas[[#This Row],[Data Início]]+Paradas[[#This Row],[Hora Início]])),"Data Fim errada")</f>
        <v>0.3125</v>
      </c>
    </row>
    <row r="78" spans="1:11" x14ac:dyDescent="0.3">
      <c r="A78" s="2">
        <v>45993</v>
      </c>
      <c r="B78" s="2" t="s">
        <v>73</v>
      </c>
      <c r="C78" s="2">
        <v>45993</v>
      </c>
      <c r="D78" s="2">
        <v>45993</v>
      </c>
      <c r="E78" s="7">
        <v>0.39652777777777776</v>
      </c>
      <c r="F78" s="7">
        <v>0.55555555555555558</v>
      </c>
      <c r="G78" s="3" t="s">
        <v>83</v>
      </c>
      <c r="H78" s="3" t="s">
        <v>190</v>
      </c>
      <c r="I78" s="3" t="s">
        <v>91</v>
      </c>
      <c r="J78" s="3" t="s">
        <v>157</v>
      </c>
      <c r="K78" s="17">
        <f>IFERROR(IF(Paradas[[#This Row],[Hora Fim]]="","",(Paradas[[#This Row],[Data fim]]+Paradas[[#This Row],[Hora Fim]])-(Paradas[[#This Row],[Data Início]]+Paradas[[#This Row],[Hora Início]])),"Data Fim errada")</f>
        <v>0.15902777777955635</v>
      </c>
    </row>
    <row r="79" spans="1:11" x14ac:dyDescent="0.3">
      <c r="A79" s="2">
        <v>45993</v>
      </c>
      <c r="B79" s="2" t="s">
        <v>73</v>
      </c>
      <c r="C79" s="2">
        <v>45993</v>
      </c>
      <c r="D79" s="2">
        <v>45993</v>
      </c>
      <c r="E79" s="7">
        <v>0.7270833333333333</v>
      </c>
      <c r="F79" s="7">
        <v>0.73750000000000004</v>
      </c>
      <c r="G79" s="3" t="s">
        <v>83</v>
      </c>
      <c r="H79" s="3" t="s">
        <v>190</v>
      </c>
      <c r="I79" s="3" t="s">
        <v>91</v>
      </c>
      <c r="J79" s="3" t="s">
        <v>158</v>
      </c>
      <c r="K79" s="17">
        <f>IFERROR(IF(Paradas[[#This Row],[Hora Fim]]="","",(Paradas[[#This Row],[Data fim]]+Paradas[[#This Row],[Hora Fim]])-(Paradas[[#This Row],[Data Início]]+Paradas[[#This Row],[Hora Início]])),"Data Fim errada")</f>
        <v>1.0416666671517305E-2</v>
      </c>
    </row>
    <row r="80" spans="1:11" x14ac:dyDescent="0.3">
      <c r="A80" s="2">
        <v>45992</v>
      </c>
      <c r="B80" s="2" t="s">
        <v>73</v>
      </c>
      <c r="C80" s="2">
        <v>45992</v>
      </c>
      <c r="D80" s="2">
        <v>45992</v>
      </c>
      <c r="E80" s="7">
        <v>0.29166666666666669</v>
      </c>
      <c r="F80" s="7">
        <v>0.31597222222222221</v>
      </c>
      <c r="G80" s="3" t="s">
        <v>83</v>
      </c>
      <c r="H80" s="3" t="s">
        <v>191</v>
      </c>
      <c r="I80" s="3" t="s">
        <v>104</v>
      </c>
      <c r="J80" s="3" t="s">
        <v>155</v>
      </c>
      <c r="K80" s="17">
        <f>IFERROR(IF(Paradas[[#This Row],[Hora Fim]]="","",(Paradas[[#This Row],[Data fim]]+Paradas[[#This Row],[Hora Fim]])-(Paradas[[#This Row],[Data Início]]+Paradas[[#This Row],[Hora Início]])),"Data Fim errada")</f>
        <v>2.4305555554747116E-2</v>
      </c>
    </row>
    <row r="81" spans="1:11" x14ac:dyDescent="0.3">
      <c r="A81" s="2">
        <v>45992</v>
      </c>
      <c r="B81" s="2" t="s">
        <v>73</v>
      </c>
      <c r="C81" s="2">
        <v>45992</v>
      </c>
      <c r="D81" s="2">
        <v>45992</v>
      </c>
      <c r="E81" s="7">
        <v>0.31597222222222221</v>
      </c>
      <c r="F81" s="7">
        <v>0.34722222222222221</v>
      </c>
      <c r="G81" s="3" t="s">
        <v>192</v>
      </c>
      <c r="H81" s="3" t="s">
        <v>190</v>
      </c>
      <c r="I81" s="3" t="s">
        <v>91</v>
      </c>
      <c r="J81" s="3" t="s">
        <v>159</v>
      </c>
      <c r="K81" s="17">
        <f>IFERROR(IF(Paradas[[#This Row],[Hora Fim]]="","",(Paradas[[#This Row],[Data fim]]+Paradas[[#This Row],[Hora Fim]])-(Paradas[[#This Row],[Data Início]]+Paradas[[#This Row],[Hora Início]])),"Data Fim errada")</f>
        <v>3.125E-2</v>
      </c>
    </row>
    <row r="82" spans="1:11" x14ac:dyDescent="0.3">
      <c r="A82" s="2">
        <v>45992</v>
      </c>
      <c r="B82" s="2" t="s">
        <v>73</v>
      </c>
      <c r="C82" s="2">
        <v>45992</v>
      </c>
      <c r="D82" s="2">
        <v>45992</v>
      </c>
      <c r="E82" s="7">
        <v>0.67013888888888884</v>
      </c>
      <c r="F82" s="7">
        <v>0.7680555555555556</v>
      </c>
      <c r="G82" s="3" t="s">
        <v>83</v>
      </c>
      <c r="H82" s="3" t="s">
        <v>101</v>
      </c>
      <c r="I82" s="3" t="s">
        <v>94</v>
      </c>
      <c r="J82" s="3"/>
      <c r="K82" s="17">
        <f>IFERROR(IF(Paradas[[#This Row],[Hora Fim]]="","",(Paradas[[#This Row],[Data fim]]+Paradas[[#This Row],[Hora Fim]])-(Paradas[[#This Row],[Data Início]]+Paradas[[#This Row],[Hora Início]])),"Data Fim errada")</f>
        <v>9.7916666665696539E-2</v>
      </c>
    </row>
    <row r="83" spans="1:11" x14ac:dyDescent="0.3">
      <c r="A83" s="2">
        <v>45992</v>
      </c>
      <c r="B83" s="2" t="s">
        <v>73</v>
      </c>
      <c r="C83" s="2">
        <v>45992</v>
      </c>
      <c r="D83" s="2">
        <v>45992</v>
      </c>
      <c r="E83" s="7">
        <v>0.47916666666666669</v>
      </c>
      <c r="F83" s="7">
        <v>0.52083333333333337</v>
      </c>
      <c r="G83" s="3" t="s">
        <v>81</v>
      </c>
      <c r="H83" s="3" t="s">
        <v>191</v>
      </c>
      <c r="I83" s="3" t="s">
        <v>104</v>
      </c>
      <c r="J83" s="3" t="s">
        <v>160</v>
      </c>
      <c r="K83" s="17">
        <f>IFERROR(IF(Paradas[[#This Row],[Hora Fim]]="","",(Paradas[[#This Row],[Data fim]]+Paradas[[#This Row],[Hora Fim]])-(Paradas[[#This Row],[Data Início]]+Paradas[[#This Row],[Hora Início]])),"Data Fim errada")</f>
        <v>4.1666666671517305E-2</v>
      </c>
    </row>
    <row r="84" spans="1:11" x14ac:dyDescent="0.3">
      <c r="A84" s="2">
        <v>45992</v>
      </c>
      <c r="B84" s="2" t="s">
        <v>73</v>
      </c>
      <c r="C84" s="2">
        <v>45992</v>
      </c>
      <c r="D84" s="2">
        <v>45992</v>
      </c>
      <c r="E84" s="7">
        <v>0.58819444444444446</v>
      </c>
      <c r="F84" s="7">
        <v>0.60416666666666663</v>
      </c>
      <c r="G84" s="3" t="s">
        <v>81</v>
      </c>
      <c r="H84" s="3" t="s">
        <v>190</v>
      </c>
      <c r="I84" s="3" t="s">
        <v>91</v>
      </c>
      <c r="J84" s="3" t="s">
        <v>161</v>
      </c>
      <c r="K84" s="17">
        <f>IFERROR(IF(Paradas[[#This Row],[Hora Fim]]="","",(Paradas[[#This Row],[Data fim]]+Paradas[[#This Row],[Hora Fim]])-(Paradas[[#This Row],[Data Início]]+Paradas[[#This Row],[Hora Início]])),"Data Fim errada")</f>
        <v>1.5972222223354038E-2</v>
      </c>
    </row>
    <row r="85" spans="1:11" x14ac:dyDescent="0.3">
      <c r="A85" s="2">
        <v>45992</v>
      </c>
      <c r="B85" s="2" t="s">
        <v>73</v>
      </c>
      <c r="C85" s="2">
        <v>45992</v>
      </c>
      <c r="D85" s="2">
        <v>45992</v>
      </c>
      <c r="E85" s="7">
        <v>0.77013888888888893</v>
      </c>
      <c r="F85" s="7">
        <v>0.7729166666666667</v>
      </c>
      <c r="G85" s="3" t="s">
        <v>83</v>
      </c>
      <c r="H85" s="3" t="s">
        <v>191</v>
      </c>
      <c r="I85" s="3" t="s">
        <v>89</v>
      </c>
      <c r="J85" s="3"/>
      <c r="K85" s="17">
        <f>IFERROR(IF(Paradas[[#This Row],[Hora Fim]]="","",(Paradas[[#This Row],[Data fim]]+Paradas[[#This Row],[Hora Fim]])-(Paradas[[#This Row],[Data Início]]+Paradas[[#This Row],[Hora Início]])),"Data Fim errada")</f>
        <v>2.7777777795563452E-3</v>
      </c>
    </row>
    <row r="86" spans="1:11" x14ac:dyDescent="0.3">
      <c r="A86" s="2">
        <v>45998</v>
      </c>
      <c r="B86" s="2" t="s">
        <v>73</v>
      </c>
      <c r="C86" s="2">
        <v>45998</v>
      </c>
      <c r="D86" s="2">
        <v>45998</v>
      </c>
      <c r="E86" s="7">
        <v>0.31874999999999998</v>
      </c>
      <c r="F86" s="7">
        <v>0.33888888888888891</v>
      </c>
      <c r="G86" s="3" t="s">
        <v>83</v>
      </c>
      <c r="H86" s="3" t="s">
        <v>190</v>
      </c>
      <c r="I86" s="3" t="s">
        <v>91</v>
      </c>
      <c r="J86" s="3" t="s">
        <v>162</v>
      </c>
      <c r="K86" s="17">
        <f>IFERROR(IF(Paradas[[#This Row],[Hora Fim]]="","",(Paradas[[#This Row],[Data fim]]+Paradas[[#This Row],[Hora Fim]])-(Paradas[[#This Row],[Data Início]]+Paradas[[#This Row],[Hora Início]])),"Data Fim errada")</f>
        <v>2.0138888889050577E-2</v>
      </c>
    </row>
    <row r="87" spans="1:11" x14ac:dyDescent="0.3">
      <c r="A87" s="2">
        <v>45998</v>
      </c>
      <c r="B87" s="2" t="s">
        <v>73</v>
      </c>
      <c r="C87" s="2">
        <v>45998</v>
      </c>
      <c r="D87" s="2">
        <v>45998</v>
      </c>
      <c r="E87" s="7">
        <v>0.60833333333333328</v>
      </c>
      <c r="F87" s="7">
        <v>0.64513888888888893</v>
      </c>
      <c r="G87" s="3" t="s">
        <v>192</v>
      </c>
      <c r="H87" s="3" t="s">
        <v>101</v>
      </c>
      <c r="I87" s="3" t="s">
        <v>98</v>
      </c>
      <c r="J87" s="3" t="s">
        <v>163</v>
      </c>
      <c r="K87" s="17">
        <f>IFERROR(IF(Paradas[[#This Row],[Hora Fim]]="","",(Paradas[[#This Row],[Data fim]]+Paradas[[#This Row],[Hora Fim]])-(Paradas[[#This Row],[Data Início]]+Paradas[[#This Row],[Hora Início]])),"Data Fim errada")</f>
        <v>3.680555555911269E-2</v>
      </c>
    </row>
    <row r="88" spans="1:11" x14ac:dyDescent="0.3">
      <c r="A88" s="2">
        <v>45998</v>
      </c>
      <c r="B88" s="2" t="s">
        <v>73</v>
      </c>
      <c r="C88" s="2">
        <v>45998</v>
      </c>
      <c r="D88" s="2">
        <v>45998</v>
      </c>
      <c r="E88" s="7">
        <v>0.62638888888888888</v>
      </c>
      <c r="F88" s="7">
        <v>0.63472222222222219</v>
      </c>
      <c r="G88" s="3" t="s">
        <v>99</v>
      </c>
      <c r="H88" s="3" t="s">
        <v>191</v>
      </c>
      <c r="I88" s="3" t="s">
        <v>167</v>
      </c>
      <c r="J88" s="3" t="s">
        <v>102</v>
      </c>
      <c r="K88" s="17">
        <f>IFERROR(IF(Paradas[[#This Row],[Hora Fim]]="","",(Paradas[[#This Row],[Data fim]]+Paradas[[#This Row],[Hora Fim]])-(Paradas[[#This Row],[Data Início]]+Paradas[[#This Row],[Hora Início]])),"Data Fim errada")</f>
        <v>8.3333333386690356E-3</v>
      </c>
    </row>
    <row r="89" spans="1:11" x14ac:dyDescent="0.3">
      <c r="A89" s="2">
        <v>45992</v>
      </c>
      <c r="B89" s="2" t="s">
        <v>74</v>
      </c>
      <c r="C89" s="2">
        <v>45992</v>
      </c>
      <c r="D89" s="2">
        <v>45992</v>
      </c>
      <c r="E89" s="7">
        <v>0.8208333333333333</v>
      </c>
      <c r="F89" s="7">
        <v>0.83263888888888893</v>
      </c>
      <c r="G89" s="3" t="s">
        <v>99</v>
      </c>
      <c r="H89" s="3" t="s">
        <v>191</v>
      </c>
      <c r="I89" s="3" t="s">
        <v>167</v>
      </c>
      <c r="J89" s="3" t="s">
        <v>102</v>
      </c>
      <c r="K89" s="17">
        <f>IFERROR(IF(Paradas[[#This Row],[Hora Fim]]="","",(Paradas[[#This Row],[Data fim]]+Paradas[[#This Row],[Hora Fim]])-(Paradas[[#This Row],[Data Início]]+Paradas[[#This Row],[Hora Início]])),"Data Fim errada")</f>
        <v>1.1805555557657499E-2</v>
      </c>
    </row>
    <row r="90" spans="1:11" x14ac:dyDescent="0.3">
      <c r="A90" s="2">
        <v>1</v>
      </c>
      <c r="B90" s="2" t="s">
        <v>74</v>
      </c>
      <c r="C90" s="2">
        <v>45993</v>
      </c>
      <c r="D90" s="2">
        <v>45993</v>
      </c>
      <c r="E90" s="7">
        <v>4.583333333333333E-2</v>
      </c>
      <c r="F90" s="7">
        <v>5.0694444444444445E-2</v>
      </c>
      <c r="G90" s="3" t="s">
        <v>83</v>
      </c>
      <c r="H90" s="3" t="s">
        <v>191</v>
      </c>
      <c r="I90" s="3" t="s">
        <v>104</v>
      </c>
      <c r="J90" s="3" t="s">
        <v>124</v>
      </c>
      <c r="K90" s="17">
        <f>IFERROR(IF(Paradas[[#This Row],[Hora Fim]]="","",(Paradas[[#This Row],[Data fim]]+Paradas[[#This Row],[Hora Fim]])-(Paradas[[#This Row],[Data Início]]+Paradas[[#This Row],[Hora Início]])),"Data Fim errada")</f>
        <v>4.8611111124046147E-3</v>
      </c>
    </row>
    <row r="91" spans="1:11" x14ac:dyDescent="0.3">
      <c r="A91" s="2">
        <v>45992</v>
      </c>
      <c r="B91" s="2" t="s">
        <v>74</v>
      </c>
      <c r="C91" s="2">
        <v>45993</v>
      </c>
      <c r="D91" s="2">
        <v>45993</v>
      </c>
      <c r="E91" s="7">
        <v>0.25069444444444444</v>
      </c>
      <c r="F91" s="7">
        <v>0.26041666666666669</v>
      </c>
      <c r="G91" s="3" t="s">
        <v>81</v>
      </c>
      <c r="H91" s="3" t="s">
        <v>191</v>
      </c>
      <c r="I91" s="3" t="s">
        <v>104</v>
      </c>
      <c r="J91" s="3" t="s">
        <v>150</v>
      </c>
      <c r="K91" s="17">
        <f>IFERROR(IF(Paradas[[#This Row],[Hora Fim]]="","",(Paradas[[#This Row],[Data fim]]+Paradas[[#This Row],[Hora Fim]])-(Paradas[[#This Row],[Data Início]]+Paradas[[#This Row],[Hora Início]])),"Data Fim errada")</f>
        <v>9.7222222175332718E-3</v>
      </c>
    </row>
    <row r="92" spans="1:11" x14ac:dyDescent="0.3">
      <c r="A92" s="2">
        <v>45995</v>
      </c>
      <c r="B92" s="2" t="s">
        <v>73</v>
      </c>
      <c r="C92" s="2">
        <v>45995</v>
      </c>
      <c r="D92" s="2">
        <v>45995</v>
      </c>
      <c r="E92" s="7">
        <v>0.34652777777777777</v>
      </c>
      <c r="F92" s="7">
        <v>0.35347222222222224</v>
      </c>
      <c r="G92" s="3" t="s">
        <v>81</v>
      </c>
      <c r="H92" s="3" t="s">
        <v>190</v>
      </c>
      <c r="I92" s="3" t="s">
        <v>91</v>
      </c>
      <c r="J92" s="3" t="s">
        <v>164</v>
      </c>
      <c r="K92" s="17">
        <f>IFERROR(IF(Paradas[[#This Row],[Hora Fim]]="","",(Paradas[[#This Row],[Data fim]]+Paradas[[#This Row],[Hora Fim]])-(Paradas[[#This Row],[Data Início]]+Paradas[[#This Row],[Hora Início]])),"Data Fim errada")</f>
        <v>6.9444444452528842E-3</v>
      </c>
    </row>
    <row r="93" spans="1:11" x14ac:dyDescent="0.3">
      <c r="A93" s="2">
        <v>45995</v>
      </c>
      <c r="B93" s="2" t="s">
        <v>73</v>
      </c>
      <c r="C93" s="2">
        <v>45995</v>
      </c>
      <c r="D93" s="2">
        <v>45995</v>
      </c>
      <c r="E93" s="7">
        <v>0.43055555555555558</v>
      </c>
      <c r="F93" s="7">
        <v>0.46527777777777779</v>
      </c>
      <c r="G93" s="3" t="s">
        <v>83</v>
      </c>
      <c r="H93" s="3" t="s">
        <v>101</v>
      </c>
      <c r="I93" s="3" t="s">
        <v>98</v>
      </c>
      <c r="J93" s="3" t="s">
        <v>165</v>
      </c>
      <c r="K93" s="17">
        <f>IFERROR(IF(Paradas[[#This Row],[Hora Fim]]="","",(Paradas[[#This Row],[Data fim]]+Paradas[[#This Row],[Hora Fim]])-(Paradas[[#This Row],[Data Início]]+Paradas[[#This Row],[Hora Início]])),"Data Fim errada")</f>
        <v>3.4722222226264421E-2</v>
      </c>
    </row>
    <row r="94" spans="1:11" x14ac:dyDescent="0.3">
      <c r="A94" s="2">
        <v>45995</v>
      </c>
      <c r="B94" s="2" t="s">
        <v>73</v>
      </c>
      <c r="C94" s="2">
        <v>45995</v>
      </c>
      <c r="D94" s="2">
        <v>45995</v>
      </c>
      <c r="E94" s="7">
        <v>0.54722222222222228</v>
      </c>
      <c r="F94" s="7">
        <v>0.64375000000000004</v>
      </c>
      <c r="G94" s="3" t="s">
        <v>83</v>
      </c>
      <c r="H94" s="3" t="s">
        <v>191</v>
      </c>
      <c r="I94" s="3" t="s">
        <v>89</v>
      </c>
      <c r="J94" s="3"/>
      <c r="K94" s="17">
        <f>IFERROR(IF(Paradas[[#This Row],[Hora Fim]]="","",(Paradas[[#This Row],[Data fim]]+Paradas[[#This Row],[Hora Fim]])-(Paradas[[#This Row],[Data Início]]+Paradas[[#This Row],[Hora Início]])),"Data Fim errada")</f>
        <v>9.6527777779556345E-2</v>
      </c>
    </row>
    <row r="95" spans="1:11" x14ac:dyDescent="0.3">
      <c r="A95" s="2">
        <v>45995</v>
      </c>
      <c r="B95" s="2" t="s">
        <v>73</v>
      </c>
      <c r="C95" s="2">
        <v>45995</v>
      </c>
      <c r="D95" s="2">
        <v>45995</v>
      </c>
      <c r="E95" s="7">
        <v>0.66736111111111107</v>
      </c>
      <c r="F95" s="7">
        <v>0.67569444444444449</v>
      </c>
      <c r="G95" s="3" t="s">
        <v>99</v>
      </c>
      <c r="H95" s="3" t="s">
        <v>191</v>
      </c>
      <c r="I95" s="3" t="s">
        <v>167</v>
      </c>
      <c r="J95" s="3" t="s">
        <v>102</v>
      </c>
      <c r="K95" s="17">
        <f>IFERROR(IF(Paradas[[#This Row],[Hora Fim]]="","",(Paradas[[#This Row],[Data fim]]+Paradas[[#This Row],[Hora Fim]])-(Paradas[[#This Row],[Data Início]]+Paradas[[#This Row],[Hora Início]])),"Data Fim errada")</f>
        <v>8.333333331393078E-3</v>
      </c>
    </row>
    <row r="96" spans="1:11" x14ac:dyDescent="0.3">
      <c r="A96" s="2">
        <v>45995</v>
      </c>
      <c r="B96" s="2" t="s">
        <v>73</v>
      </c>
      <c r="C96" s="2">
        <v>45995</v>
      </c>
      <c r="D96" s="2">
        <v>45995</v>
      </c>
      <c r="E96" s="7">
        <v>0.67638888888888893</v>
      </c>
      <c r="F96" s="7">
        <v>0.68263888888888891</v>
      </c>
      <c r="G96" s="3" t="s">
        <v>83</v>
      </c>
      <c r="H96" s="3" t="s">
        <v>191</v>
      </c>
      <c r="I96" s="3" t="s">
        <v>104</v>
      </c>
      <c r="J96" s="3" t="s">
        <v>124</v>
      </c>
      <c r="K96" s="17">
        <f>IFERROR(IF(Paradas[[#This Row],[Hora Fim]]="","",(Paradas[[#This Row],[Data fim]]+Paradas[[#This Row],[Hora Fim]])-(Paradas[[#This Row],[Data Início]]+Paradas[[#This Row],[Hora Início]])),"Data Fim errada")</f>
        <v>6.2499999985448085E-3</v>
      </c>
    </row>
    <row r="97" spans="1:11" x14ac:dyDescent="0.3">
      <c r="A97" s="2">
        <v>45995</v>
      </c>
      <c r="B97" s="2" t="s">
        <v>73</v>
      </c>
      <c r="C97" s="2">
        <v>45995</v>
      </c>
      <c r="D97" s="2">
        <v>45995</v>
      </c>
      <c r="E97" s="7">
        <v>0.75138888888888888</v>
      </c>
      <c r="F97" s="7">
        <v>0.78333333333333333</v>
      </c>
      <c r="G97" s="3" t="s">
        <v>83</v>
      </c>
      <c r="H97" s="3" t="s">
        <v>190</v>
      </c>
      <c r="I97" s="3" t="s">
        <v>91</v>
      </c>
      <c r="J97" s="3" t="s">
        <v>166</v>
      </c>
      <c r="K97" s="17">
        <f>IFERROR(IF(Paradas[[#This Row],[Hora Fim]]="","",(Paradas[[#This Row],[Data fim]]+Paradas[[#This Row],[Hora Fim]])-(Paradas[[#This Row],[Data Início]]+Paradas[[#This Row],[Hora Início]])),"Data Fim errada")</f>
        <v>3.1944444446708076E-2</v>
      </c>
    </row>
    <row r="98" spans="1:11" x14ac:dyDescent="0.3">
      <c r="A98" s="2">
        <v>45998</v>
      </c>
      <c r="B98" s="2" t="s">
        <v>73</v>
      </c>
      <c r="C98" s="2">
        <v>45998</v>
      </c>
      <c r="D98" s="2">
        <v>45998</v>
      </c>
      <c r="E98" s="19">
        <v>0.63402777777777775</v>
      </c>
      <c r="F98" s="19">
        <v>0.6645833333333333</v>
      </c>
      <c r="G98" s="3" t="s">
        <v>83</v>
      </c>
      <c r="H98" s="3" t="s">
        <v>191</v>
      </c>
      <c r="I98" s="3" t="s">
        <v>104</v>
      </c>
      <c r="J98" s="3"/>
      <c r="K98" s="17">
        <f>IFERROR(IF(Paradas[[#This Row],[Hora Fim]]="","",(Paradas[[#This Row],[Data fim]]+Paradas[[#This Row],[Hora Fim]])-(Paradas[[#This Row],[Data Início]]+Paradas[[#This Row],[Hora Início]])),"Data Fim errada")</f>
        <v>3.0555555553291924E-2</v>
      </c>
    </row>
    <row r="99" spans="1:11" x14ac:dyDescent="0.3">
      <c r="A99" s="2">
        <v>45998</v>
      </c>
      <c r="B99" s="2" t="s">
        <v>73</v>
      </c>
      <c r="C99" s="2">
        <v>45998</v>
      </c>
      <c r="D99" s="2">
        <v>45998</v>
      </c>
      <c r="E99" s="19">
        <v>0.63402777777777775</v>
      </c>
      <c r="F99" s="19">
        <v>0.6645833333333333</v>
      </c>
      <c r="G99" s="3" t="s">
        <v>81</v>
      </c>
      <c r="H99" s="3" t="s">
        <v>191</v>
      </c>
      <c r="I99" s="3" t="s">
        <v>104</v>
      </c>
      <c r="J99" s="3"/>
      <c r="K99" s="17">
        <f>IFERROR(IF(Paradas[[#This Row],[Hora Fim]]="","",(Paradas[[#This Row],[Data fim]]+Paradas[[#This Row],[Hora Fim]])-(Paradas[[#This Row],[Data Início]]+Paradas[[#This Row],[Hora Início]])),"Data Fim errada")</f>
        <v>3.0555555553291924E-2</v>
      </c>
    </row>
    <row r="100" spans="1:11" x14ac:dyDescent="0.3">
      <c r="A100" s="2">
        <v>45998</v>
      </c>
      <c r="B100" s="2" t="s">
        <v>74</v>
      </c>
      <c r="C100" s="2">
        <v>45998</v>
      </c>
      <c r="D100" s="2">
        <v>45998</v>
      </c>
      <c r="E100" s="7">
        <v>0.87430555555555556</v>
      </c>
      <c r="F100" s="7">
        <v>0.88402777777777775</v>
      </c>
      <c r="G100" s="3" t="s">
        <v>83</v>
      </c>
      <c r="H100" s="3" t="s">
        <v>191</v>
      </c>
      <c r="I100" s="3" t="s">
        <v>148</v>
      </c>
      <c r="J100" s="3"/>
      <c r="K100" s="17">
        <f>IFERROR(IF(Paradas[[#This Row],[Hora Fim]]="","",(Paradas[[#This Row],[Data fim]]+Paradas[[#This Row],[Hora Fim]])-(Paradas[[#This Row],[Data Início]]+Paradas[[#This Row],[Hora Início]])),"Data Fim errada")</f>
        <v>9.7222222248092294E-3</v>
      </c>
    </row>
    <row r="101" spans="1:11" x14ac:dyDescent="0.3">
      <c r="A101" s="2">
        <v>45998</v>
      </c>
      <c r="B101" s="2" t="s">
        <v>74</v>
      </c>
      <c r="C101" s="2">
        <v>45998</v>
      </c>
      <c r="D101" s="2">
        <v>45999</v>
      </c>
      <c r="E101" s="7">
        <v>0.88888888888888884</v>
      </c>
      <c r="F101" s="7">
        <v>5.7638888888888892E-2</v>
      </c>
      <c r="G101" s="3" t="s">
        <v>83</v>
      </c>
      <c r="H101" s="3" t="s">
        <v>191</v>
      </c>
      <c r="I101" s="3" t="s">
        <v>89</v>
      </c>
      <c r="J101" s="3"/>
      <c r="K101" s="17">
        <f>IFERROR(IF(Paradas[[#This Row],[Hora Fim]]="","",(Paradas[[#This Row],[Data fim]]+Paradas[[#This Row],[Hora Fim]])-(Paradas[[#This Row],[Data Início]]+Paradas[[#This Row],[Hora Início]])),"Data Fim errada")</f>
        <v>0.16874999999708962</v>
      </c>
    </row>
    <row r="102" spans="1:11" x14ac:dyDescent="0.3">
      <c r="A102" s="2">
        <v>45996</v>
      </c>
      <c r="B102" s="2" t="s">
        <v>73</v>
      </c>
      <c r="C102" s="2">
        <v>45996</v>
      </c>
      <c r="D102" s="2">
        <v>45996</v>
      </c>
      <c r="E102" s="7">
        <v>0.3576388888888889</v>
      </c>
      <c r="F102" s="7">
        <v>0.38958333333333334</v>
      </c>
      <c r="G102" s="3" t="s">
        <v>82</v>
      </c>
      <c r="H102" s="3" t="s">
        <v>190</v>
      </c>
      <c r="I102" s="3" t="s">
        <v>92</v>
      </c>
      <c r="J102" s="3" t="s">
        <v>118</v>
      </c>
      <c r="K102" s="17">
        <f>IFERROR(IF(Paradas[[#This Row],[Hora Fim]]="","",(Paradas[[#This Row],[Data fim]]+Paradas[[#This Row],[Hora Fim]])-(Paradas[[#This Row],[Data Início]]+Paradas[[#This Row],[Hora Início]])),"Data Fim errada")</f>
        <v>3.1944444439432118E-2</v>
      </c>
    </row>
    <row r="103" spans="1:11" x14ac:dyDescent="0.3">
      <c r="A103" s="2">
        <v>45996</v>
      </c>
      <c r="B103" s="2" t="s">
        <v>73</v>
      </c>
      <c r="C103" s="2">
        <v>45996</v>
      </c>
      <c r="D103" s="2">
        <v>45996</v>
      </c>
      <c r="E103" s="7">
        <v>0.6381944444444444</v>
      </c>
      <c r="F103" s="7">
        <v>0.65555555555555556</v>
      </c>
      <c r="G103" s="3" t="s">
        <v>99</v>
      </c>
      <c r="H103" s="3" t="s">
        <v>191</v>
      </c>
      <c r="I103" s="3" t="s">
        <v>167</v>
      </c>
      <c r="J103" s="3" t="s">
        <v>102</v>
      </c>
      <c r="K103" s="17">
        <f>IFERROR(IF(Paradas[[#This Row],[Hora Fim]]="","",(Paradas[[#This Row],[Data fim]]+Paradas[[#This Row],[Hora Fim]])-(Paradas[[#This Row],[Data Início]]+Paradas[[#This Row],[Hora Início]])),"Data Fim errada")</f>
        <v>1.7361111109494232E-2</v>
      </c>
    </row>
    <row r="104" spans="1:11" x14ac:dyDescent="0.3">
      <c r="A104" s="2">
        <v>45996</v>
      </c>
      <c r="B104" s="2" t="s">
        <v>73</v>
      </c>
      <c r="C104" s="2">
        <v>45996</v>
      </c>
      <c r="D104" s="2">
        <v>45996</v>
      </c>
      <c r="E104" s="7">
        <v>0.65555555555555556</v>
      </c>
      <c r="F104" s="7">
        <v>0.67222222222222228</v>
      </c>
      <c r="G104" s="3" t="s">
        <v>83</v>
      </c>
      <c r="H104" s="3" t="s">
        <v>191</v>
      </c>
      <c r="I104" s="3" t="s">
        <v>104</v>
      </c>
      <c r="J104" s="3" t="s">
        <v>155</v>
      </c>
      <c r="K104" s="17">
        <f>IFERROR(IF(Paradas[[#This Row],[Hora Fim]]="","",(Paradas[[#This Row],[Data fim]]+Paradas[[#This Row],[Hora Fim]])-(Paradas[[#This Row],[Data Início]]+Paradas[[#This Row],[Hora Início]])),"Data Fim errada")</f>
        <v>1.6666666670062114E-2</v>
      </c>
    </row>
    <row r="105" spans="1:11" x14ac:dyDescent="0.3">
      <c r="A105" s="2">
        <v>45996</v>
      </c>
      <c r="B105" s="2" t="s">
        <v>74</v>
      </c>
      <c r="C105" s="2">
        <v>45996</v>
      </c>
      <c r="D105" s="2">
        <v>45997</v>
      </c>
      <c r="E105" s="7">
        <v>0.90972222222222221</v>
      </c>
      <c r="F105" s="7">
        <v>0.29166666666666669</v>
      </c>
      <c r="G105" s="3" t="s">
        <v>81</v>
      </c>
      <c r="H105" s="3" t="s">
        <v>190</v>
      </c>
      <c r="I105" s="3" t="s">
        <v>91</v>
      </c>
      <c r="J105" s="3" t="s">
        <v>168</v>
      </c>
      <c r="K105" s="17">
        <f>IFERROR(IF(Paradas[[#This Row],[Hora Fim]]="","",(Paradas[[#This Row],[Data fim]]+Paradas[[#This Row],[Hora Fim]])-(Paradas[[#This Row],[Data Início]]+Paradas[[#This Row],[Hora Início]])),"Data Fim errada")</f>
        <v>0.38194444444525288</v>
      </c>
    </row>
    <row r="106" spans="1:11" x14ac:dyDescent="0.3">
      <c r="A106" s="2">
        <v>45997</v>
      </c>
      <c r="B106" s="2" t="s">
        <v>74</v>
      </c>
      <c r="C106" s="2">
        <v>45997</v>
      </c>
      <c r="D106" s="2">
        <v>45997</v>
      </c>
      <c r="E106" s="7">
        <v>0.79166666666666663</v>
      </c>
      <c r="F106" s="7">
        <v>0.875</v>
      </c>
      <c r="G106" s="3" t="s">
        <v>81</v>
      </c>
      <c r="H106" s="3" t="s">
        <v>190</v>
      </c>
      <c r="I106" s="3" t="s">
        <v>91</v>
      </c>
      <c r="J106" s="3" t="s">
        <v>169</v>
      </c>
      <c r="K106" s="17">
        <f>IFERROR(IF(Paradas[[#This Row],[Hora Fim]]="","",(Paradas[[#This Row],[Data fim]]+Paradas[[#This Row],[Hora Fim]])-(Paradas[[#This Row],[Data Início]]+Paradas[[#This Row],[Hora Início]])),"Data Fim errada")</f>
        <v>8.3333333335758653E-2</v>
      </c>
    </row>
    <row r="107" spans="1:11" x14ac:dyDescent="0.3">
      <c r="A107" s="2">
        <v>45997</v>
      </c>
      <c r="B107" s="2" t="s">
        <v>74</v>
      </c>
      <c r="C107" s="2">
        <v>45998</v>
      </c>
      <c r="D107" s="2">
        <v>45998</v>
      </c>
      <c r="E107" s="7">
        <v>1.8749999999999999E-2</v>
      </c>
      <c r="F107" s="7">
        <v>5.1388888888888887E-2</v>
      </c>
      <c r="G107" s="3" t="s">
        <v>84</v>
      </c>
      <c r="H107" s="3" t="s">
        <v>191</v>
      </c>
      <c r="I107" s="3" t="s">
        <v>89</v>
      </c>
      <c r="J107" s="3"/>
      <c r="K107" s="17">
        <f>IFERROR(IF(Paradas[[#This Row],[Hora Fim]]="","",(Paradas[[#This Row],[Data fim]]+Paradas[[#This Row],[Hora Fim]])-(Paradas[[#This Row],[Data Início]]+Paradas[[#This Row],[Hora Início]])),"Data Fim errada")</f>
        <v>3.2638888886140194E-2</v>
      </c>
    </row>
    <row r="108" spans="1:11" x14ac:dyDescent="0.3">
      <c r="A108" s="2">
        <v>45997</v>
      </c>
      <c r="B108" s="2" t="s">
        <v>73</v>
      </c>
      <c r="C108" s="2">
        <v>45997</v>
      </c>
      <c r="D108" s="2">
        <v>45997</v>
      </c>
      <c r="E108" s="7">
        <v>0.29166666666666669</v>
      </c>
      <c r="F108" s="7">
        <v>0.79166666666666663</v>
      </c>
      <c r="G108" s="3" t="s">
        <v>81</v>
      </c>
      <c r="H108" s="3" t="s">
        <v>190</v>
      </c>
      <c r="I108" s="3" t="s">
        <v>91</v>
      </c>
      <c r="J108" s="3" t="s">
        <v>168</v>
      </c>
      <c r="K108" s="17">
        <f>IFERROR(IF(Paradas[[#This Row],[Hora Fim]]="","",(Paradas[[#This Row],[Data fim]]+Paradas[[#This Row],[Hora Fim]])-(Paradas[[#This Row],[Data Início]]+Paradas[[#This Row],[Hora Início]])),"Data Fim errada")</f>
        <v>0.5</v>
      </c>
    </row>
    <row r="109" spans="1:11" x14ac:dyDescent="0.3">
      <c r="A109" s="2">
        <v>46000</v>
      </c>
      <c r="B109" s="2" t="s">
        <v>74</v>
      </c>
      <c r="C109" s="2">
        <v>46000</v>
      </c>
      <c r="D109" s="2">
        <v>46000</v>
      </c>
      <c r="E109" s="7">
        <v>0.81666666666666665</v>
      </c>
      <c r="F109" s="7">
        <v>0.87291666666666667</v>
      </c>
      <c r="G109" s="3" t="s">
        <v>192</v>
      </c>
      <c r="H109" s="3" t="s">
        <v>101</v>
      </c>
      <c r="I109" s="3" t="s">
        <v>94</v>
      </c>
      <c r="J109" s="3" t="s">
        <v>127</v>
      </c>
      <c r="K109" s="17">
        <f>IFERROR(IF(Paradas[[#This Row],[Hora Fim]]="","",(Paradas[[#This Row],[Data fim]]+Paradas[[#This Row],[Hora Fim]])-(Paradas[[#This Row],[Data Início]]+Paradas[[#This Row],[Hora Início]])),"Data Fim errada")</f>
        <v>5.6250000001455192E-2</v>
      </c>
    </row>
    <row r="110" spans="1:11" x14ac:dyDescent="0.3">
      <c r="A110" s="2">
        <v>46000</v>
      </c>
      <c r="B110" s="2" t="s">
        <v>74</v>
      </c>
      <c r="C110" s="2">
        <v>46000</v>
      </c>
      <c r="D110" s="2">
        <v>46001</v>
      </c>
      <c r="E110" s="7">
        <v>0.87708333333333333</v>
      </c>
      <c r="F110" s="7">
        <v>3.4027777777777775E-2</v>
      </c>
      <c r="G110" s="3" t="s">
        <v>81</v>
      </c>
      <c r="H110" s="3" t="s">
        <v>191</v>
      </c>
      <c r="I110" s="3" t="s">
        <v>89</v>
      </c>
      <c r="J110" s="3" t="s">
        <v>170</v>
      </c>
      <c r="K110" s="17">
        <f>IFERROR(IF(Paradas[[#This Row],[Hora Fim]]="","",(Paradas[[#This Row],[Data fim]]+Paradas[[#This Row],[Hora Fim]])-(Paradas[[#This Row],[Data Início]]+Paradas[[#This Row],[Hora Início]])),"Data Fim errada")</f>
        <v>0.15694444444670808</v>
      </c>
    </row>
    <row r="111" spans="1:11" x14ac:dyDescent="0.3">
      <c r="A111" s="2">
        <v>46000</v>
      </c>
      <c r="B111" s="2" t="s">
        <v>73</v>
      </c>
      <c r="C111" s="2">
        <v>46000</v>
      </c>
      <c r="D111" s="2">
        <v>46000</v>
      </c>
      <c r="E111" s="7">
        <v>0.44444444444444442</v>
      </c>
      <c r="F111" s="7">
        <v>0.51875000000000004</v>
      </c>
      <c r="G111" s="3" t="s">
        <v>81</v>
      </c>
      <c r="H111" s="3" t="s">
        <v>191</v>
      </c>
      <c r="I111" s="3" t="s">
        <v>104</v>
      </c>
      <c r="J111" s="3" t="s">
        <v>171</v>
      </c>
      <c r="K111" s="17">
        <f>IFERROR(IF(Paradas[[#This Row],[Hora Fim]]="","",(Paradas[[#This Row],[Data fim]]+Paradas[[#This Row],[Hora Fim]])-(Paradas[[#This Row],[Data Início]]+Paradas[[#This Row],[Hora Início]])),"Data Fim errada")</f>
        <v>7.4305555557657499E-2</v>
      </c>
    </row>
    <row r="112" spans="1:11" x14ac:dyDescent="0.3">
      <c r="A112" s="2">
        <v>46000</v>
      </c>
      <c r="B112" s="2" t="s">
        <v>73</v>
      </c>
      <c r="C112" s="2">
        <v>46000</v>
      </c>
      <c r="D112" s="2">
        <v>46000</v>
      </c>
      <c r="E112" s="7">
        <v>0.55694444444444446</v>
      </c>
      <c r="F112" s="7">
        <v>0.55833333333333335</v>
      </c>
      <c r="G112" s="3" t="s">
        <v>84</v>
      </c>
      <c r="H112" s="3" t="s">
        <v>191</v>
      </c>
      <c r="I112" s="3" t="s">
        <v>89</v>
      </c>
      <c r="J112" s="3"/>
      <c r="K112" s="17">
        <f>IFERROR(IF(Paradas[[#This Row],[Hora Fim]]="","",(Paradas[[#This Row],[Data fim]]+Paradas[[#This Row],[Hora Fim]])-(Paradas[[#This Row],[Data Início]]+Paradas[[#This Row],[Hora Início]])),"Data Fim errada")</f>
        <v>1.3888888934161514E-3</v>
      </c>
    </row>
    <row r="113" spans="1:11" x14ac:dyDescent="0.3">
      <c r="A113" s="2">
        <v>46000</v>
      </c>
      <c r="B113" s="2" t="s">
        <v>73</v>
      </c>
      <c r="C113" s="2">
        <v>46000</v>
      </c>
      <c r="D113" s="2">
        <v>46000</v>
      </c>
      <c r="E113" s="7">
        <v>0.57499999999999996</v>
      </c>
      <c r="F113" s="7">
        <v>0.58611111111111114</v>
      </c>
      <c r="G113" s="3" t="s">
        <v>83</v>
      </c>
      <c r="H113" s="3" t="s">
        <v>190</v>
      </c>
      <c r="I113" s="3" t="s">
        <v>91</v>
      </c>
      <c r="J113" s="3" t="s">
        <v>172</v>
      </c>
      <c r="K113" s="17">
        <f>IFERROR(IF(Paradas[[#This Row],[Hora Fim]]="","",(Paradas[[#This Row],[Data fim]]+Paradas[[#This Row],[Hora Fim]])-(Paradas[[#This Row],[Data Início]]+Paradas[[#This Row],[Hora Início]])),"Data Fim errada")</f>
        <v>1.1111111110949423E-2</v>
      </c>
    </row>
    <row r="114" spans="1:11" x14ac:dyDescent="0.3">
      <c r="A114" s="2">
        <v>46000</v>
      </c>
      <c r="B114" s="2" t="s">
        <v>73</v>
      </c>
      <c r="C114" s="2">
        <v>46000</v>
      </c>
      <c r="D114" s="2">
        <v>46000</v>
      </c>
      <c r="E114" s="7">
        <v>0.65277777777777779</v>
      </c>
      <c r="F114" s="7">
        <v>0.72777777777777775</v>
      </c>
      <c r="G114" s="3" t="s">
        <v>81</v>
      </c>
      <c r="H114" s="3" t="s">
        <v>191</v>
      </c>
      <c r="I114" s="3" t="s">
        <v>104</v>
      </c>
      <c r="J114" s="3" t="s">
        <v>173</v>
      </c>
      <c r="K114" s="17">
        <f>IFERROR(IF(Paradas[[#This Row],[Hora Fim]]="","",(Paradas[[#This Row],[Data fim]]+Paradas[[#This Row],[Hora Fim]])-(Paradas[[#This Row],[Data Início]]+Paradas[[#This Row],[Hora Início]])),"Data Fim errada")</f>
        <v>7.4999999997089617E-2</v>
      </c>
    </row>
    <row r="115" spans="1:11" x14ac:dyDescent="0.3">
      <c r="A115" s="2">
        <v>45999</v>
      </c>
      <c r="B115" s="2" t="s">
        <v>73</v>
      </c>
      <c r="C115" s="2">
        <v>45999</v>
      </c>
      <c r="D115" s="2">
        <v>45999</v>
      </c>
      <c r="E115" s="7">
        <v>0.60069444444444442</v>
      </c>
      <c r="F115" s="7">
        <v>0.62152777777777779</v>
      </c>
      <c r="G115" s="3" t="s">
        <v>99</v>
      </c>
      <c r="H115" s="3" t="s">
        <v>191</v>
      </c>
      <c r="I115" s="3" t="s">
        <v>167</v>
      </c>
      <c r="J115" s="3" t="s">
        <v>102</v>
      </c>
      <c r="K115" s="17">
        <f>IFERROR(IF(Paradas[[#This Row],[Hora Fim]]="","",(Paradas[[#This Row],[Data fim]]+Paradas[[#This Row],[Hora Fim]])-(Paradas[[#This Row],[Data Início]]+Paradas[[#This Row],[Hora Início]])),"Data Fim errada")</f>
        <v>2.0833333335758653E-2</v>
      </c>
    </row>
    <row r="116" spans="1:11" x14ac:dyDescent="0.3">
      <c r="A116" s="2">
        <v>45999</v>
      </c>
      <c r="B116" s="2" t="s">
        <v>74</v>
      </c>
      <c r="C116" s="2">
        <v>45999</v>
      </c>
      <c r="D116" s="2">
        <v>45999</v>
      </c>
      <c r="E116" s="7">
        <v>0.79166666666666663</v>
      </c>
      <c r="F116" s="7">
        <v>0.83472222222222225</v>
      </c>
      <c r="G116" s="3" t="s">
        <v>83</v>
      </c>
      <c r="H116" s="3" t="s">
        <v>101</v>
      </c>
      <c r="I116" s="3" t="s">
        <v>94</v>
      </c>
      <c r="J116" s="3" t="s">
        <v>127</v>
      </c>
      <c r="K116" s="17">
        <f>IFERROR(IF(Paradas[[#This Row],[Hora Fim]]="","",(Paradas[[#This Row],[Data fim]]+Paradas[[#This Row],[Hora Fim]])-(Paradas[[#This Row],[Data Início]]+Paradas[[#This Row],[Hora Início]])),"Data Fim errada")</f>
        <v>4.3055555557657499E-2</v>
      </c>
    </row>
    <row r="117" spans="1:11" x14ac:dyDescent="0.3">
      <c r="A117" s="2">
        <v>45999</v>
      </c>
      <c r="B117" s="2" t="s">
        <v>74</v>
      </c>
      <c r="C117" s="2">
        <v>45999</v>
      </c>
      <c r="D117" s="2">
        <v>46000</v>
      </c>
      <c r="E117" s="7">
        <v>0.96388888888888891</v>
      </c>
      <c r="F117" s="7">
        <v>7.4999999999999997E-2</v>
      </c>
      <c r="G117" s="3" t="s">
        <v>83</v>
      </c>
      <c r="H117" s="3" t="s">
        <v>101</v>
      </c>
      <c r="I117" s="3" t="s">
        <v>94</v>
      </c>
      <c r="J117" s="3" t="s">
        <v>127</v>
      </c>
      <c r="K117" s="17">
        <f>IFERROR(IF(Paradas[[#This Row],[Hora Fim]]="","",(Paradas[[#This Row],[Data fim]]+Paradas[[#This Row],[Hora Fim]])-(Paradas[[#This Row],[Data Início]]+Paradas[[#This Row],[Hora Início]])),"Data Fim errada")</f>
        <v>0.11111111110949423</v>
      </c>
    </row>
    <row r="118" spans="1:11" x14ac:dyDescent="0.3">
      <c r="A118" s="2">
        <v>45999</v>
      </c>
      <c r="B118" s="2" t="s">
        <v>74</v>
      </c>
      <c r="C118" s="2">
        <v>46000</v>
      </c>
      <c r="D118" s="2">
        <v>46000</v>
      </c>
      <c r="E118" s="7">
        <v>7.5694444444444439E-2</v>
      </c>
      <c r="F118" s="7">
        <v>0.15416666666666667</v>
      </c>
      <c r="G118" s="3" t="s">
        <v>83</v>
      </c>
      <c r="H118" s="3" t="s">
        <v>191</v>
      </c>
      <c r="I118" s="3" t="s">
        <v>89</v>
      </c>
      <c r="J118" s="3"/>
      <c r="K118" s="17">
        <f>IFERROR(IF(Paradas[[#This Row],[Hora Fim]]="","",(Paradas[[#This Row],[Data fim]]+Paradas[[#This Row],[Hora Fim]])-(Paradas[[#This Row],[Data Início]]+Paradas[[#This Row],[Hora Início]])),"Data Fim errada")</f>
        <v>7.8472222223354038E-2</v>
      </c>
    </row>
    <row r="119" spans="1:11" x14ac:dyDescent="0.3">
      <c r="A119" s="2">
        <v>45999</v>
      </c>
      <c r="B119" s="2" t="s">
        <v>74</v>
      </c>
      <c r="C119" s="2">
        <v>46000</v>
      </c>
      <c r="D119" s="2">
        <v>46000</v>
      </c>
      <c r="E119" s="7">
        <v>0.18194444444444444</v>
      </c>
      <c r="F119" s="7">
        <v>0.18333333333333332</v>
      </c>
      <c r="G119" s="3" t="s">
        <v>84</v>
      </c>
      <c r="H119" s="3" t="s">
        <v>191</v>
      </c>
      <c r="I119" s="3" t="s">
        <v>89</v>
      </c>
      <c r="J119" s="3"/>
      <c r="K119" s="17">
        <f>IFERROR(IF(Paradas[[#This Row],[Hora Fim]]="","",(Paradas[[#This Row],[Data fim]]+Paradas[[#This Row],[Hora Fim]])-(Paradas[[#This Row],[Data Início]]+Paradas[[#This Row],[Hora Início]])),"Data Fim errada")</f>
        <v>1.3888888934161514E-3</v>
      </c>
    </row>
    <row r="120" spans="1:11" x14ac:dyDescent="0.3">
      <c r="A120" s="2">
        <v>46003</v>
      </c>
      <c r="B120" s="2" t="s">
        <v>73</v>
      </c>
      <c r="C120" s="2">
        <v>46003</v>
      </c>
      <c r="D120" s="2">
        <v>46003</v>
      </c>
      <c r="E120" s="7">
        <v>0.3972222222222222</v>
      </c>
      <c r="F120" s="7">
        <v>0.40555555555555556</v>
      </c>
      <c r="G120" s="3" t="s">
        <v>83</v>
      </c>
      <c r="H120" s="3" t="s">
        <v>190</v>
      </c>
      <c r="I120" s="3" t="s">
        <v>92</v>
      </c>
      <c r="J120" s="3" t="s">
        <v>174</v>
      </c>
      <c r="K120" s="17">
        <f>IFERROR(IF(Paradas[[#This Row],[Hora Fim]]="","",(Paradas[[#This Row],[Data fim]]+Paradas[[#This Row],[Hora Fim]])-(Paradas[[#This Row],[Data Início]]+Paradas[[#This Row],[Hora Início]])),"Data Fim errada")</f>
        <v>8.333333331393078E-3</v>
      </c>
    </row>
    <row r="121" spans="1:11" x14ac:dyDescent="0.3">
      <c r="A121" s="2">
        <v>46003</v>
      </c>
      <c r="B121" s="2" t="s">
        <v>73</v>
      </c>
      <c r="C121" s="2">
        <v>46003</v>
      </c>
      <c r="D121" s="2">
        <v>46003</v>
      </c>
      <c r="E121" s="7">
        <v>0.49236111111111114</v>
      </c>
      <c r="F121" s="7">
        <v>0.50972222222222219</v>
      </c>
      <c r="G121" s="3" t="s">
        <v>84</v>
      </c>
      <c r="H121" s="3" t="s">
        <v>191</v>
      </c>
      <c r="I121" s="3" t="s">
        <v>96</v>
      </c>
      <c r="J121" s="3" t="s">
        <v>175</v>
      </c>
      <c r="K121" s="17">
        <f>IFERROR(IF(Paradas[[#This Row],[Hora Fim]]="","",(Paradas[[#This Row],[Data fim]]+Paradas[[#This Row],[Hora Fim]])-(Paradas[[#This Row],[Data Início]]+Paradas[[#This Row],[Hora Início]])),"Data Fim errada")</f>
        <v>1.7361111116770189E-2</v>
      </c>
    </row>
    <row r="122" spans="1:11" x14ac:dyDescent="0.3">
      <c r="A122" s="2">
        <v>46003</v>
      </c>
      <c r="B122" s="2" t="s">
        <v>73</v>
      </c>
      <c r="C122" s="2">
        <v>46003</v>
      </c>
      <c r="D122" s="2">
        <v>46003</v>
      </c>
      <c r="E122" s="7">
        <v>0.71319444444444446</v>
      </c>
      <c r="F122" s="7">
        <v>0.75486111111111109</v>
      </c>
      <c r="G122" s="3" t="s">
        <v>192</v>
      </c>
      <c r="H122" s="3" t="s">
        <v>101</v>
      </c>
      <c r="I122" s="3" t="s">
        <v>94</v>
      </c>
      <c r="J122" s="3" t="s">
        <v>127</v>
      </c>
      <c r="K122" s="17">
        <f>IFERROR(IF(Paradas[[#This Row],[Hora Fim]]="","",(Paradas[[#This Row],[Data fim]]+Paradas[[#This Row],[Hora Fim]])-(Paradas[[#This Row],[Data Início]]+Paradas[[#This Row],[Hora Início]])),"Data Fim errada")</f>
        <v>4.1666666671517305E-2</v>
      </c>
    </row>
    <row r="123" spans="1:11" x14ac:dyDescent="0.3">
      <c r="A123" s="2">
        <v>46003</v>
      </c>
      <c r="B123" s="2" t="s">
        <v>73</v>
      </c>
      <c r="C123" s="2">
        <v>46003</v>
      </c>
      <c r="D123" s="2">
        <v>46003</v>
      </c>
      <c r="E123" s="7">
        <v>0.75486111111111109</v>
      </c>
      <c r="F123" s="7">
        <v>0.77152777777777781</v>
      </c>
      <c r="G123" s="3" t="s">
        <v>99</v>
      </c>
      <c r="H123" s="3" t="s">
        <v>191</v>
      </c>
      <c r="I123" s="3" t="s">
        <v>167</v>
      </c>
      <c r="J123" s="3" t="s">
        <v>102</v>
      </c>
      <c r="K123" s="17">
        <f>IFERROR(IF(Paradas[[#This Row],[Hora Fim]]="","",(Paradas[[#This Row],[Data fim]]+Paradas[[#This Row],[Hora Fim]])-(Paradas[[#This Row],[Data Início]]+Paradas[[#This Row],[Hora Início]])),"Data Fim errada")</f>
        <v>1.6666666662786156E-2</v>
      </c>
    </row>
    <row r="124" spans="1:11" x14ac:dyDescent="0.3">
      <c r="A124" s="2">
        <v>46003</v>
      </c>
      <c r="B124" s="2" t="s">
        <v>74</v>
      </c>
      <c r="C124" s="2">
        <v>46004</v>
      </c>
      <c r="D124" s="2">
        <v>46004</v>
      </c>
      <c r="E124" s="7">
        <v>6.1805555555555558E-2</v>
      </c>
      <c r="F124" s="7">
        <v>0.11458333333333333</v>
      </c>
      <c r="G124" s="3" t="s">
        <v>192</v>
      </c>
      <c r="H124" s="3" t="s">
        <v>101</v>
      </c>
      <c r="I124" s="3" t="s">
        <v>94</v>
      </c>
      <c r="J124" s="3" t="s">
        <v>127</v>
      </c>
      <c r="K124" s="17">
        <f>IFERROR(IF(Paradas[[#This Row],[Hora Fim]]="","",(Paradas[[#This Row],[Data fim]]+Paradas[[#This Row],[Hora Fim]])-(Paradas[[#This Row],[Data Início]]+Paradas[[#This Row],[Hora Início]])),"Data Fim errada")</f>
        <v>5.2777777782466728E-2</v>
      </c>
    </row>
    <row r="125" spans="1:11" x14ac:dyDescent="0.3">
      <c r="A125" s="2">
        <v>46003</v>
      </c>
      <c r="B125" s="2" t="s">
        <v>74</v>
      </c>
      <c r="C125" s="2">
        <v>46004</v>
      </c>
      <c r="D125" s="2">
        <v>46004</v>
      </c>
      <c r="E125" s="7">
        <v>0.25555555555555554</v>
      </c>
      <c r="F125" s="7">
        <v>0.27361111111111114</v>
      </c>
      <c r="G125" s="3" t="s">
        <v>81</v>
      </c>
      <c r="H125" s="3" t="s">
        <v>191</v>
      </c>
      <c r="I125" s="3" t="s">
        <v>104</v>
      </c>
      <c r="J125" s="3" t="s">
        <v>171</v>
      </c>
      <c r="K125" s="17">
        <f>IFERROR(IF(Paradas[[#This Row],[Hora Fim]]="","",(Paradas[[#This Row],[Data fim]]+Paradas[[#This Row],[Hora Fim]])-(Paradas[[#This Row],[Data Início]]+Paradas[[#This Row],[Hora Início]])),"Data Fim errada")</f>
        <v>1.805555554892635E-2</v>
      </c>
    </row>
    <row r="126" spans="1:11" x14ac:dyDescent="0.3">
      <c r="A126" s="2">
        <v>46002</v>
      </c>
      <c r="B126" s="2" t="s">
        <v>74</v>
      </c>
      <c r="C126" s="2">
        <v>46002</v>
      </c>
      <c r="D126" s="2">
        <v>46003</v>
      </c>
      <c r="E126" s="7">
        <v>0.80763888888888891</v>
      </c>
      <c r="F126" s="7">
        <v>0.24166666666666667</v>
      </c>
      <c r="G126" s="3" t="s">
        <v>81</v>
      </c>
      <c r="H126" s="3" t="s">
        <v>190</v>
      </c>
      <c r="I126" s="3" t="s">
        <v>91</v>
      </c>
      <c r="J126" s="3" t="s">
        <v>176</v>
      </c>
      <c r="K126" s="17">
        <f>IFERROR(IF(Paradas[[#This Row],[Hora Fim]]="","",(Paradas[[#This Row],[Data fim]]+Paradas[[#This Row],[Hora Fim]])-(Paradas[[#This Row],[Data Início]]+Paradas[[#This Row],[Hora Início]])),"Data Fim errada")</f>
        <v>0.43402777778101154</v>
      </c>
    </row>
    <row r="127" spans="1:11" x14ac:dyDescent="0.3">
      <c r="A127" s="2">
        <v>46002</v>
      </c>
      <c r="B127" s="2" t="s">
        <v>74</v>
      </c>
      <c r="C127" s="2">
        <v>46003</v>
      </c>
      <c r="D127" s="2">
        <v>46003</v>
      </c>
      <c r="E127" s="7">
        <v>0.25</v>
      </c>
      <c r="F127" s="7">
        <v>0.25347222222222221</v>
      </c>
      <c r="G127" s="3" t="s">
        <v>84</v>
      </c>
      <c r="H127" s="3" t="s">
        <v>191</v>
      </c>
      <c r="I127" s="3" t="s">
        <v>89</v>
      </c>
      <c r="J127" s="3"/>
      <c r="K127" s="17">
        <f>IFERROR(IF(Paradas[[#This Row],[Hora Fim]]="","",(Paradas[[#This Row],[Data fim]]+Paradas[[#This Row],[Hora Fim]])-(Paradas[[#This Row],[Data Início]]+Paradas[[#This Row],[Hora Início]])),"Data Fim errada")</f>
        <v>3.4722222189884633E-3</v>
      </c>
    </row>
    <row r="128" spans="1:11" x14ac:dyDescent="0.3">
      <c r="A128" s="2">
        <v>46002</v>
      </c>
      <c r="B128" s="2" t="s">
        <v>73</v>
      </c>
      <c r="C128" s="2">
        <v>46002</v>
      </c>
      <c r="D128" s="2">
        <v>46002</v>
      </c>
      <c r="E128" s="7">
        <v>0.29166666666666669</v>
      </c>
      <c r="F128" s="7">
        <v>0.57708333333333328</v>
      </c>
      <c r="G128" s="3" t="s">
        <v>84</v>
      </c>
      <c r="H128" s="3" t="s">
        <v>190</v>
      </c>
      <c r="I128" s="3" t="s">
        <v>91</v>
      </c>
      <c r="J128" s="3" t="s">
        <v>147</v>
      </c>
      <c r="K128" s="17">
        <f>IFERROR(IF(Paradas[[#This Row],[Hora Fim]]="","",(Paradas[[#This Row],[Data fim]]+Paradas[[#This Row],[Hora Fim]])-(Paradas[[#This Row],[Data Início]]+Paradas[[#This Row],[Hora Início]])),"Data Fim errada")</f>
        <v>0.28541666666569654</v>
      </c>
    </row>
    <row r="129" spans="1:11" x14ac:dyDescent="0.3">
      <c r="A129" s="2">
        <v>46002</v>
      </c>
      <c r="B129" s="2" t="s">
        <v>73</v>
      </c>
      <c r="C129" s="2">
        <v>46002</v>
      </c>
      <c r="D129" s="2">
        <v>46002</v>
      </c>
      <c r="E129" s="7">
        <v>0.58333333333333337</v>
      </c>
      <c r="F129" s="7">
        <v>0.58611111111111114</v>
      </c>
      <c r="G129" s="3" t="s">
        <v>84</v>
      </c>
      <c r="H129" s="3" t="s">
        <v>191</v>
      </c>
      <c r="I129" s="3" t="s">
        <v>89</v>
      </c>
      <c r="J129" s="3"/>
      <c r="K129" s="17">
        <f>IFERROR(IF(Paradas[[#This Row],[Hora Fim]]="","",(Paradas[[#This Row],[Data fim]]+Paradas[[#This Row],[Hora Fim]])-(Paradas[[#This Row],[Data Início]]+Paradas[[#This Row],[Hora Início]])),"Data Fim errada")</f>
        <v>2.7777777722803876E-3</v>
      </c>
    </row>
    <row r="130" spans="1:11" x14ac:dyDescent="0.3">
      <c r="A130" s="2">
        <v>46002</v>
      </c>
      <c r="B130" s="2" t="s">
        <v>73</v>
      </c>
      <c r="C130" s="2">
        <v>46002</v>
      </c>
      <c r="D130" s="2">
        <v>46002</v>
      </c>
      <c r="E130" s="7">
        <v>0.63680555555555551</v>
      </c>
      <c r="F130" s="7">
        <v>0.64097222222222228</v>
      </c>
      <c r="G130" s="3" t="s">
        <v>177</v>
      </c>
      <c r="H130" s="3" t="s">
        <v>190</v>
      </c>
      <c r="I130" s="3" t="s">
        <v>91</v>
      </c>
      <c r="J130" s="3" t="s">
        <v>178</v>
      </c>
      <c r="K130" s="17">
        <f>IFERROR(IF(Paradas[[#This Row],[Hora Fim]]="","",(Paradas[[#This Row],[Data fim]]+Paradas[[#This Row],[Hora Fim]])-(Paradas[[#This Row],[Data Início]]+Paradas[[#This Row],[Hora Início]])),"Data Fim errada")</f>
        <v>4.166666665696539E-3</v>
      </c>
    </row>
    <row r="131" spans="1:11" x14ac:dyDescent="0.3">
      <c r="A131" s="2">
        <v>46002</v>
      </c>
      <c r="B131" s="2" t="s">
        <v>73</v>
      </c>
      <c r="C131" s="2">
        <v>46002</v>
      </c>
      <c r="D131" s="2">
        <v>46002</v>
      </c>
      <c r="E131" s="7">
        <v>0.67986111111111114</v>
      </c>
      <c r="F131" s="7">
        <v>0.68194444444444446</v>
      </c>
      <c r="G131" s="3" t="s">
        <v>83</v>
      </c>
      <c r="H131" s="3" t="s">
        <v>191</v>
      </c>
      <c r="I131" s="3" t="s">
        <v>96</v>
      </c>
      <c r="J131" s="3" t="s">
        <v>179</v>
      </c>
      <c r="K131" s="17">
        <f>IFERROR(IF(Paradas[[#This Row],[Hora Fim]]="","",(Paradas[[#This Row],[Data fim]]+Paradas[[#This Row],[Hora Fim]])-(Paradas[[#This Row],[Data Início]]+Paradas[[#This Row],[Hora Início]])),"Data Fim errada")</f>
        <v>2.0833333328482695E-3</v>
      </c>
    </row>
    <row r="132" spans="1:11" x14ac:dyDescent="0.3">
      <c r="A132" s="2">
        <v>46002</v>
      </c>
      <c r="B132" s="2" t="s">
        <v>73</v>
      </c>
      <c r="C132" s="2">
        <v>46002</v>
      </c>
      <c r="D132" s="2">
        <v>46002</v>
      </c>
      <c r="E132" s="7">
        <v>0.69652777777777775</v>
      </c>
      <c r="F132" s="7">
        <v>0.70486111111111116</v>
      </c>
      <c r="G132" s="3" t="s">
        <v>99</v>
      </c>
      <c r="H132" s="3" t="s">
        <v>191</v>
      </c>
      <c r="I132" s="3" t="s">
        <v>167</v>
      </c>
      <c r="J132" s="3" t="s">
        <v>102</v>
      </c>
      <c r="K132" s="17">
        <f>IFERROR(IF(Paradas[[#This Row],[Hora Fim]]="","",(Paradas[[#This Row],[Data fim]]+Paradas[[#This Row],[Hora Fim]])-(Paradas[[#This Row],[Data Início]]+Paradas[[#This Row],[Hora Início]])),"Data Fim errada")</f>
        <v>8.333333331393078E-3</v>
      </c>
    </row>
    <row r="133" spans="1:11" x14ac:dyDescent="0.3">
      <c r="A133" s="2">
        <v>46001</v>
      </c>
      <c r="B133" s="2" t="s">
        <v>74</v>
      </c>
      <c r="C133" s="2">
        <v>46001</v>
      </c>
      <c r="D133" s="2">
        <v>46001</v>
      </c>
      <c r="E133" s="7">
        <v>0.96875</v>
      </c>
      <c r="F133" s="7">
        <v>0.97013888888888888</v>
      </c>
      <c r="G133" s="3" t="s">
        <v>83</v>
      </c>
      <c r="H133" s="3" t="s">
        <v>190</v>
      </c>
      <c r="I133" s="3" t="s">
        <v>91</v>
      </c>
      <c r="J133" s="3" t="s">
        <v>180</v>
      </c>
      <c r="K133" s="17">
        <f>IFERROR(IF(Paradas[[#This Row],[Hora Fim]]="","",(Paradas[[#This Row],[Data fim]]+Paradas[[#This Row],[Hora Fim]])-(Paradas[[#This Row],[Data Início]]+Paradas[[#This Row],[Hora Início]])),"Data Fim errada")</f>
        <v>1.3888888861401938E-3</v>
      </c>
    </row>
    <row r="134" spans="1:11" x14ac:dyDescent="0.3">
      <c r="A134" s="2">
        <v>46001</v>
      </c>
      <c r="B134" s="2" t="s">
        <v>74</v>
      </c>
      <c r="C134" s="2">
        <v>46001</v>
      </c>
      <c r="D134" s="2">
        <v>46002</v>
      </c>
      <c r="E134" s="7">
        <v>0.97361111111111109</v>
      </c>
      <c r="F134" s="7">
        <v>2.1527777777777778E-2</v>
      </c>
      <c r="G134" s="3" t="s">
        <v>84</v>
      </c>
      <c r="H134" s="3" t="s">
        <v>190</v>
      </c>
      <c r="I134" s="3" t="s">
        <v>91</v>
      </c>
      <c r="J134" s="3" t="s">
        <v>181</v>
      </c>
      <c r="K134" s="17">
        <f>IFERROR(IF(Paradas[[#This Row],[Hora Fim]]="","",(Paradas[[#This Row],[Data fim]]+Paradas[[#This Row],[Hora Fim]])-(Paradas[[#This Row],[Data Início]]+Paradas[[#This Row],[Hora Início]])),"Data Fim errada")</f>
        <v>4.7916666662786156E-2</v>
      </c>
    </row>
    <row r="135" spans="1:11" x14ac:dyDescent="0.3">
      <c r="A135" s="2">
        <v>46001</v>
      </c>
      <c r="B135" s="2" t="s">
        <v>74</v>
      </c>
      <c r="C135" s="2">
        <v>46002</v>
      </c>
      <c r="D135" s="2">
        <v>46002</v>
      </c>
      <c r="E135" s="7">
        <v>6.3888888888888884E-2</v>
      </c>
      <c r="F135" s="7">
        <v>9.375E-2</v>
      </c>
      <c r="G135" s="3" t="s">
        <v>81</v>
      </c>
      <c r="H135" s="3" t="s">
        <v>191</v>
      </c>
      <c r="I135" s="3" t="s">
        <v>104</v>
      </c>
      <c r="J135" s="3" t="s">
        <v>182</v>
      </c>
      <c r="K135" s="17">
        <f>IFERROR(IF(Paradas[[#This Row],[Hora Fim]]="","",(Paradas[[#This Row],[Data fim]]+Paradas[[#This Row],[Hora Fim]])-(Paradas[[#This Row],[Data Início]]+Paradas[[#This Row],[Hora Início]])),"Data Fim errada")</f>
        <v>2.9861111113859806E-2</v>
      </c>
    </row>
    <row r="136" spans="1:11" x14ac:dyDescent="0.3">
      <c r="A136" s="2">
        <v>46001</v>
      </c>
      <c r="B136" s="2" t="s">
        <v>74</v>
      </c>
      <c r="C136" s="2">
        <v>46002</v>
      </c>
      <c r="D136" s="2">
        <v>46002</v>
      </c>
      <c r="E136" s="7">
        <v>0.1701388888888889</v>
      </c>
      <c r="F136" s="7">
        <v>0.17499999999999999</v>
      </c>
      <c r="G136" s="3" t="s">
        <v>83</v>
      </c>
      <c r="H136" s="3" t="s">
        <v>190</v>
      </c>
      <c r="I136" s="3" t="s">
        <v>91</v>
      </c>
      <c r="J136" s="3" t="s">
        <v>183</v>
      </c>
      <c r="K136" s="17">
        <f>IFERROR(IF(Paradas[[#This Row],[Hora Fim]]="","",(Paradas[[#This Row],[Data fim]]+Paradas[[#This Row],[Hora Fim]])-(Paradas[[#This Row],[Data Início]]+Paradas[[#This Row],[Hora Início]])),"Data Fim errada")</f>
        <v>4.8611111124046147E-3</v>
      </c>
    </row>
    <row r="137" spans="1:11" x14ac:dyDescent="0.3">
      <c r="A137" s="2">
        <v>46001</v>
      </c>
      <c r="B137" s="2" t="s">
        <v>74</v>
      </c>
      <c r="C137" s="2">
        <v>46002</v>
      </c>
      <c r="D137" s="2">
        <v>46002</v>
      </c>
      <c r="E137" s="7">
        <v>0.28333333333333333</v>
      </c>
      <c r="F137" s="7">
        <v>0.29166666666666669</v>
      </c>
      <c r="G137" s="3" t="s">
        <v>84</v>
      </c>
      <c r="H137" s="3" t="s">
        <v>190</v>
      </c>
      <c r="I137" s="3" t="s">
        <v>92</v>
      </c>
      <c r="J137" s="3" t="s">
        <v>137</v>
      </c>
      <c r="K137" s="17">
        <f>IFERROR(IF(Paradas[[#This Row],[Hora Fim]]="","",(Paradas[[#This Row],[Data fim]]+Paradas[[#This Row],[Hora Fim]])-(Paradas[[#This Row],[Data Início]]+Paradas[[#This Row],[Hora Início]])),"Data Fim errada")</f>
        <v>8.333333331393078E-3</v>
      </c>
    </row>
    <row r="138" spans="1:11" x14ac:dyDescent="0.3">
      <c r="A138" s="2">
        <v>46001</v>
      </c>
      <c r="B138" s="2" t="s">
        <v>73</v>
      </c>
      <c r="C138" s="2">
        <v>46001</v>
      </c>
      <c r="D138" s="2">
        <v>46001</v>
      </c>
      <c r="E138" s="7">
        <v>0.73888888888888893</v>
      </c>
      <c r="F138" s="7">
        <v>0.75347222222222221</v>
      </c>
      <c r="G138" s="3" t="s">
        <v>99</v>
      </c>
      <c r="H138" s="3" t="s">
        <v>191</v>
      </c>
      <c r="I138" s="3" t="s">
        <v>167</v>
      </c>
      <c r="J138" s="3" t="s">
        <v>102</v>
      </c>
      <c r="K138" s="17">
        <f>IFERROR(IF(Paradas[[#This Row],[Hora Fim]]="","",(Paradas[[#This Row],[Data fim]]+Paradas[[#This Row],[Hora Fim]])-(Paradas[[#This Row],[Data Início]]+Paradas[[#This Row],[Hora Início]])),"Data Fim errada")</f>
        <v>1.4583333329937886E-2</v>
      </c>
    </row>
    <row r="139" spans="1:11" x14ac:dyDescent="0.3">
      <c r="A139" s="2">
        <v>46001</v>
      </c>
      <c r="B139" s="2" t="s">
        <v>73</v>
      </c>
      <c r="C139" s="2">
        <v>46001</v>
      </c>
      <c r="D139" s="2">
        <v>46001</v>
      </c>
      <c r="E139" s="7">
        <v>0.75416666666666665</v>
      </c>
      <c r="F139" s="7">
        <v>0.77013888888888893</v>
      </c>
      <c r="G139" s="3" t="s">
        <v>84</v>
      </c>
      <c r="H139" s="3" t="s">
        <v>190</v>
      </c>
      <c r="I139" s="3" t="s">
        <v>91</v>
      </c>
      <c r="J139" s="3" t="s">
        <v>184</v>
      </c>
      <c r="K139" s="17">
        <f>IFERROR(IF(Paradas[[#This Row],[Hora Fim]]="","",(Paradas[[#This Row],[Data fim]]+Paradas[[#This Row],[Hora Fim]])-(Paradas[[#This Row],[Data Início]]+Paradas[[#This Row],[Hora Início]])),"Data Fim errada")</f>
        <v>1.5972222223354038E-2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errorTitle="LANÇAMENTO ERRADO" xr:uid="{1BC2D5D1-BD9E-4C23-81EA-64170684AAA2}">
          <x14:formula1>
            <xm:f>Dados!$B$2:$B$4</xm:f>
          </x14:formula1>
          <xm:sqref>H2:H139</xm:sqref>
        </x14:dataValidation>
        <x14:dataValidation type="list" allowBlank="1" showInputMessage="1" showErrorMessage="1" xr:uid="{23F051EF-D641-4603-BF82-896359639E93}">
          <x14:formula1>
            <xm:f>Dados!$A$2:$A$3</xm:f>
          </x14:formula1>
          <xm:sqref>B2:B139</xm:sqref>
        </x14:dataValidation>
        <x14:dataValidation type="list" allowBlank="1" showInputMessage="1" showErrorMessage="1" xr:uid="{6A066A51-058C-4418-B3C3-F8CB18C7EF19}">
          <x14:formula1>
            <xm:f>Dados!$E$2:$E$15</xm:f>
          </x14:formula1>
          <xm:sqref>I2:I139</xm:sqref>
        </x14:dataValidation>
        <x14:dataValidation type="list" allowBlank="1" showInputMessage="1" showErrorMessage="1" errorTitle="LANÇAMENTO ERRADO" xr:uid="{3A951237-CA99-4950-8144-C9A021C403A0}">
          <x14:formula1>
            <xm:f>Dados!$C$2:$C$8</xm:f>
          </x14:formula1>
          <xm:sqref>G2:G1048576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A76C9-13D7-464E-8271-C37B802759DA}">
  <dimension ref="A1:E15"/>
  <sheetViews>
    <sheetView workbookViewId="0">
      <selection activeCell="C9" sqref="C9"/>
    </sheetView>
  </sheetViews>
  <sheetFormatPr defaultRowHeight="14.4" x14ac:dyDescent="0.3"/>
  <cols>
    <col min="2" max="2" width="30.88671875" bestFit="1" customWidth="1"/>
    <col min="3" max="3" width="18.88671875" bestFit="1" customWidth="1"/>
    <col min="4" max="4" width="16.88671875" bestFit="1" customWidth="1"/>
    <col min="5" max="5" width="35.109375" bestFit="1" customWidth="1"/>
  </cols>
  <sheetData>
    <row r="1" spans="1:5" x14ac:dyDescent="0.3">
      <c r="A1" t="s">
        <v>12</v>
      </c>
      <c r="B1" t="s">
        <v>13</v>
      </c>
      <c r="C1" t="s">
        <v>85</v>
      </c>
      <c r="D1" s="18" t="s">
        <v>86</v>
      </c>
      <c r="E1" t="s">
        <v>87</v>
      </c>
    </row>
    <row r="2" spans="1:5" x14ac:dyDescent="0.3">
      <c r="A2" t="s">
        <v>73</v>
      </c>
      <c r="B2" t="s">
        <v>191</v>
      </c>
      <c r="C2" t="s">
        <v>81</v>
      </c>
      <c r="D2">
        <v>1</v>
      </c>
      <c r="E2" t="s">
        <v>167</v>
      </c>
    </row>
    <row r="3" spans="1:5" x14ac:dyDescent="0.3">
      <c r="A3" t="s">
        <v>74</v>
      </c>
      <c r="B3" t="s">
        <v>190</v>
      </c>
      <c r="C3" t="s">
        <v>82</v>
      </c>
      <c r="D3">
        <v>2</v>
      </c>
      <c r="E3" t="s">
        <v>88</v>
      </c>
    </row>
    <row r="4" spans="1:5" x14ac:dyDescent="0.3">
      <c r="B4" t="s">
        <v>101</v>
      </c>
      <c r="C4" t="s">
        <v>83</v>
      </c>
      <c r="D4">
        <v>3</v>
      </c>
      <c r="E4" t="s">
        <v>90</v>
      </c>
    </row>
    <row r="5" spans="1:5" x14ac:dyDescent="0.3">
      <c r="C5" t="s">
        <v>84</v>
      </c>
      <c r="D5">
        <v>4</v>
      </c>
      <c r="E5" t="s">
        <v>93</v>
      </c>
    </row>
    <row r="6" spans="1:5" x14ac:dyDescent="0.3">
      <c r="C6" t="s">
        <v>99</v>
      </c>
      <c r="D6">
        <v>5</v>
      </c>
      <c r="E6" t="s">
        <v>97</v>
      </c>
    </row>
    <row r="7" spans="1:5" x14ac:dyDescent="0.3">
      <c r="C7" t="s">
        <v>177</v>
      </c>
      <c r="D7">
        <v>6</v>
      </c>
      <c r="E7" t="s">
        <v>104</v>
      </c>
    </row>
    <row r="8" spans="1:5" x14ac:dyDescent="0.3">
      <c r="C8" t="s">
        <v>192</v>
      </c>
      <c r="D8">
        <v>7</v>
      </c>
      <c r="E8" t="s">
        <v>148</v>
      </c>
    </row>
    <row r="9" spans="1:5" x14ac:dyDescent="0.3">
      <c r="D9">
        <v>8</v>
      </c>
      <c r="E9" t="s">
        <v>91</v>
      </c>
    </row>
    <row r="10" spans="1:5" x14ac:dyDescent="0.3">
      <c r="D10">
        <v>9</v>
      </c>
      <c r="E10" t="s">
        <v>98</v>
      </c>
    </row>
    <row r="11" spans="1:5" x14ac:dyDescent="0.3">
      <c r="D11">
        <v>10</v>
      </c>
      <c r="E11" t="s">
        <v>92</v>
      </c>
    </row>
    <row r="12" spans="1:5" x14ac:dyDescent="0.3">
      <c r="D12">
        <v>11</v>
      </c>
      <c r="E12" t="s">
        <v>95</v>
      </c>
    </row>
    <row r="13" spans="1:5" x14ac:dyDescent="0.3">
      <c r="D13">
        <v>12</v>
      </c>
      <c r="E13" t="s">
        <v>94</v>
      </c>
    </row>
    <row r="14" spans="1:5" x14ac:dyDescent="0.3">
      <c r="D14">
        <v>13</v>
      </c>
      <c r="E14" t="s">
        <v>89</v>
      </c>
    </row>
    <row r="15" spans="1:5" x14ac:dyDescent="0.3">
      <c r="E15" t="s">
        <v>96</v>
      </c>
    </row>
  </sheetData>
  <sortState xmlns:xlrd2="http://schemas.microsoft.com/office/spreadsheetml/2017/richdata2" ref="E2:E14">
    <sortCondition ref="E2:E14"/>
  </sortState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HORÍMETROS</vt:lpstr>
      <vt:lpstr>PARADAS TOTAIS</vt:lpstr>
      <vt:lpstr>PRODUÇÃO</vt:lpstr>
      <vt:lpstr>Planilha1</vt:lpstr>
      <vt:lpstr>CAPACIDADE NOMINAL</vt:lpstr>
      <vt:lpstr>BASE</vt:lpstr>
      <vt:lpstr>Paradas</vt:lpstr>
      <vt:lpstr>Dados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Martins</dc:creator>
  <cp:keywords/>
  <dc:description/>
  <cp:lastModifiedBy>Rudgere Germano</cp:lastModifiedBy>
  <cp:revision/>
  <dcterms:created xsi:type="dcterms:W3CDTF">2025-11-15T13:37:22Z</dcterms:created>
  <dcterms:modified xsi:type="dcterms:W3CDTF">2026-01-05T09:22:30Z</dcterms:modified>
  <cp:category/>
  <cp:contentStatus/>
</cp:coreProperties>
</file>